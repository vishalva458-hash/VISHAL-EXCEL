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vishal\Downloads\"/>
    </mc:Choice>
  </mc:AlternateContent>
  <xr:revisionPtr revIDLastSave="0" documentId="13_ncr:1_{0D6C8DDD-CEDC-4210-9AF4-990483CCD7ED}" xr6:coauthVersionLast="47" xr6:coauthVersionMax="47" xr10:uidLastSave="{00000000-0000-0000-0000-000000000000}"/>
  <bookViews>
    <workbookView xWindow="-108" yWindow="-108" windowWidth="23256" windowHeight="12456" xr2:uid="{C0893FBD-34B3-420E-B0D6-EC330180DDEA}"/>
  </bookViews>
  <sheets>
    <sheet name="SalesData" sheetId="3" r:id="rId1"/>
    <sheet name="Sheet2" sheetId="5" r:id="rId2"/>
    <sheet name="Sheet3" sheetId="8" r:id="rId3"/>
  </sheets>
  <definedNames>
    <definedName name="Slicer_Product">#N/A</definedName>
    <definedName name="Slicer_Region">#N/A</definedName>
    <definedName name="Slicer_Sales_Person">#N/A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2" i="3" l="1"/>
  <c r="K11" i="3"/>
  <c r="K8" i="3"/>
  <c r="K5" i="3"/>
  <c r="H3" i="3"/>
  <c r="H4" i="3"/>
  <c r="H5" i="3"/>
  <c r="H1048576" i="3" s="1"/>
  <c r="H6" i="3"/>
  <c r="I6" i="3" s="1"/>
  <c r="H7" i="3"/>
  <c r="I7" i="3" s="1"/>
  <c r="H8" i="3"/>
  <c r="I8" i="3" s="1"/>
  <c r="H9" i="3"/>
  <c r="I9" i="3" s="1"/>
  <c r="H10" i="3"/>
  <c r="I10" i="3" s="1"/>
  <c r="H11" i="3"/>
  <c r="H12" i="3"/>
  <c r="H13" i="3"/>
  <c r="H14" i="3"/>
  <c r="H15" i="3"/>
  <c r="I15" i="3" s="1"/>
  <c r="H16" i="3"/>
  <c r="I16" i="3" s="1"/>
  <c r="H17" i="3"/>
  <c r="I17" i="3" s="1"/>
  <c r="H18" i="3"/>
  <c r="I18" i="3" s="1"/>
  <c r="H19" i="3"/>
  <c r="H20" i="3"/>
  <c r="H21" i="3"/>
  <c r="H22" i="3"/>
  <c r="H23" i="3"/>
  <c r="H24" i="3"/>
  <c r="I24" i="3" s="1"/>
  <c r="H25" i="3"/>
  <c r="I25" i="3" s="1"/>
  <c r="H26" i="3"/>
  <c r="I26" i="3" s="1"/>
  <c r="H27" i="3"/>
  <c r="H28" i="3"/>
  <c r="H29" i="3"/>
  <c r="I29" i="3" s="1"/>
  <c r="H30" i="3"/>
  <c r="I30" i="3" s="1"/>
  <c r="H31" i="3"/>
  <c r="I31" i="3" s="1"/>
  <c r="H32" i="3"/>
  <c r="I32" i="3" s="1"/>
  <c r="H33" i="3"/>
  <c r="I33" i="3" s="1"/>
  <c r="H34" i="3"/>
  <c r="I34" i="3" s="1"/>
  <c r="H35" i="3"/>
  <c r="H36" i="3"/>
  <c r="H37" i="3"/>
  <c r="H38" i="3"/>
  <c r="H39" i="3"/>
  <c r="I39" i="3" s="1"/>
  <c r="H40" i="3"/>
  <c r="I40" i="3" s="1"/>
  <c r="H41" i="3"/>
  <c r="I41" i="3" s="1"/>
  <c r="H42" i="3"/>
  <c r="I42" i="3" s="1"/>
  <c r="H43" i="3"/>
  <c r="H44" i="3"/>
  <c r="H45" i="3"/>
  <c r="H46" i="3"/>
  <c r="H47" i="3"/>
  <c r="I47" i="3" s="1"/>
  <c r="H48" i="3"/>
  <c r="I48" i="3" s="1"/>
  <c r="H49" i="3"/>
  <c r="I49" i="3" s="1"/>
  <c r="H50" i="3"/>
  <c r="I50" i="3" s="1"/>
  <c r="H51" i="3"/>
  <c r="I27" i="3"/>
  <c r="I28" i="3"/>
  <c r="I35" i="3"/>
  <c r="I36" i="3"/>
  <c r="I37" i="3"/>
  <c r="I38" i="3"/>
  <c r="I43" i="3"/>
  <c r="I44" i="3"/>
  <c r="I45" i="3"/>
  <c r="I46" i="3"/>
  <c r="I51" i="3"/>
  <c r="I3" i="3"/>
  <c r="I4" i="3"/>
  <c r="I5" i="3"/>
  <c r="I11" i="3"/>
  <c r="I12" i="3"/>
  <c r="I13" i="3"/>
  <c r="I14" i="3"/>
  <c r="I19" i="3"/>
  <c r="I20" i="3"/>
  <c r="I21" i="3"/>
  <c r="I22" i="3"/>
  <c r="I23" i="3"/>
  <c r="I2" i="3"/>
  <c r="G51" i="3"/>
  <c r="F51" i="3"/>
  <c r="G50" i="3"/>
  <c r="F50" i="3"/>
  <c r="G49" i="3"/>
  <c r="F49" i="3"/>
  <c r="G48" i="3"/>
  <c r="F48" i="3"/>
  <c r="G47" i="3"/>
  <c r="F47" i="3"/>
  <c r="G46" i="3"/>
  <c r="F46" i="3"/>
  <c r="G45" i="3"/>
  <c r="F45" i="3"/>
  <c r="G44" i="3"/>
  <c r="F44" i="3"/>
  <c r="G43" i="3"/>
  <c r="F43" i="3"/>
  <c r="G42" i="3"/>
  <c r="F42" i="3"/>
  <c r="G41" i="3"/>
  <c r="F41" i="3"/>
  <c r="G40" i="3"/>
  <c r="F40" i="3"/>
  <c r="G39" i="3"/>
  <c r="F39" i="3"/>
  <c r="G38" i="3"/>
  <c r="F38" i="3"/>
  <c r="G37" i="3"/>
  <c r="F37" i="3"/>
  <c r="G36" i="3"/>
  <c r="F36" i="3"/>
  <c r="G35" i="3"/>
  <c r="F35" i="3"/>
  <c r="G34" i="3"/>
  <c r="F34" i="3"/>
  <c r="G33" i="3"/>
  <c r="F33" i="3"/>
  <c r="G32" i="3"/>
  <c r="F32" i="3"/>
  <c r="G31" i="3"/>
  <c r="F31" i="3"/>
  <c r="G30" i="3"/>
  <c r="F30" i="3"/>
  <c r="G29" i="3"/>
  <c r="F29" i="3"/>
  <c r="G28" i="3"/>
  <c r="F28" i="3"/>
  <c r="G27" i="3"/>
  <c r="F27" i="3"/>
  <c r="G26" i="3"/>
  <c r="F26" i="3"/>
  <c r="G25" i="3"/>
  <c r="F25" i="3"/>
  <c r="G24" i="3"/>
  <c r="F24" i="3"/>
  <c r="G23" i="3"/>
  <c r="F23" i="3"/>
  <c r="G22" i="3"/>
  <c r="F22" i="3"/>
  <c r="G21" i="3"/>
  <c r="F21" i="3"/>
  <c r="G20" i="3"/>
  <c r="F20" i="3"/>
  <c r="G19" i="3"/>
  <c r="F19" i="3"/>
  <c r="G18" i="3"/>
  <c r="F18" i="3"/>
  <c r="G17" i="3"/>
  <c r="F17" i="3"/>
  <c r="G16" i="3"/>
  <c r="F16" i="3"/>
  <c r="G15" i="3"/>
  <c r="F15" i="3"/>
  <c r="G14" i="3"/>
  <c r="F14" i="3"/>
  <c r="G13" i="3"/>
  <c r="F13" i="3"/>
  <c r="G12" i="3"/>
  <c r="F12" i="3"/>
  <c r="G11" i="3"/>
  <c r="F11" i="3"/>
  <c r="G10" i="3"/>
  <c r="F10" i="3"/>
  <c r="G9" i="3"/>
  <c r="F9" i="3"/>
  <c r="G8" i="3"/>
  <c r="F8" i="3"/>
  <c r="G7" i="3"/>
  <c r="F7" i="3"/>
  <c r="G6" i="3"/>
  <c r="F6" i="3"/>
  <c r="G5" i="3"/>
  <c r="F5" i="3"/>
  <c r="G4" i="3"/>
  <c r="F4" i="3"/>
  <c r="G3" i="3"/>
  <c r="F3" i="3"/>
  <c r="H2" i="3"/>
  <c r="G2" i="3"/>
  <c r="F2" i="3"/>
</calcChain>
</file>

<file path=xl/sharedStrings.xml><?xml version="1.0" encoding="utf-8"?>
<sst xmlns="http://schemas.openxmlformats.org/spreadsheetml/2006/main" count="203" uniqueCount="38">
  <si>
    <t>Date</t>
  </si>
  <si>
    <t>Sales Person</t>
  </si>
  <si>
    <t>Region</t>
  </si>
  <si>
    <t>Product</t>
  </si>
  <si>
    <t>Units Sold</t>
  </si>
  <si>
    <t>Unit Price</t>
  </si>
  <si>
    <t>Cost of Goods</t>
  </si>
  <si>
    <t>Total Sales</t>
  </si>
  <si>
    <t>Andrew</t>
  </si>
  <si>
    <t>West</t>
  </si>
  <si>
    <t>Tent</t>
  </si>
  <si>
    <t>Grace</t>
  </si>
  <si>
    <t>East</t>
  </si>
  <si>
    <t>Blender</t>
  </si>
  <si>
    <t>Ella</t>
  </si>
  <si>
    <t>South</t>
  </si>
  <si>
    <t>Action Figure</t>
  </si>
  <si>
    <t>Cameron</t>
  </si>
  <si>
    <t>North</t>
  </si>
  <si>
    <t>Novel</t>
  </si>
  <si>
    <t>Megan</t>
  </si>
  <si>
    <t>Sneakers</t>
  </si>
  <si>
    <t>Carolyn</t>
  </si>
  <si>
    <t>Virginia</t>
  </si>
  <si>
    <t>Connor</t>
  </si>
  <si>
    <t>Anna</t>
  </si>
  <si>
    <t>Moisturizer</t>
  </si>
  <si>
    <t>Nicholas</t>
  </si>
  <si>
    <t>Smartphone</t>
  </si>
  <si>
    <t>PROFIT</t>
  </si>
  <si>
    <t>GRAND TOTAL</t>
  </si>
  <si>
    <t>UNITSOLD</t>
  </si>
  <si>
    <t>TOTAL PROFIT</t>
  </si>
  <si>
    <t>AVERAGESALE</t>
  </si>
  <si>
    <t>Row Labels</t>
  </si>
  <si>
    <t>Grand Total</t>
  </si>
  <si>
    <t>Sum of Total Sales</t>
  </si>
  <si>
    <t>Sum of Units Sold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</si>
</sst>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4" formatCode="_ &quot;₹&quot;\ * #,##0.00_ ;_ &quot;₹&quot;\ * \-#,##0.00_ ;_ &quot;₹&quot;\ * &quot;-&quot;??_ ;_ @_ "/>
    <numFmt numFmtId="164" formatCode="_ &quot;Rs.&quot;\ * #,##0_ ;_ &quot;Rs.&quot;\ * \-#,##0_ ;_ &quot;Rs.&quot;\ * &quot;-&quot;_ ;_ @_ "/>
    <numFmt numFmtId="165" formatCode="&quot;Rs. &quot;0\.00,&quot;L&quot;"/>
    <numFmt numFmtId="166" formatCode="&quot;&quot;0\.00,&quot;L&quot;\ "/>
  </numFmts>
  <fonts count="3" x14ac:knownFonts="1">
    <font>
      <sz val="11"/>
      <color theme="1"/>
      <name val="Aptos Narrow"/>
      <family val="2"/>
      <scheme val="minor"/>
    </font>
    <font>
      <sz val="11"/>
      <color theme="1"/>
      <name val="Aptos Narrow"/>
      <family val="2"/>
      <scheme val="minor"/>
    </font>
    <font>
      <sz val="11"/>
      <color theme="0"/>
      <name val="Aptos Narrow"/>
      <family val="2"/>
      <scheme val="minor"/>
    </font>
  </fonts>
  <fills count="3">
    <fill>
      <patternFill patternType="none"/>
    </fill>
    <fill>
      <patternFill patternType="gray125"/>
    </fill>
    <fill>
      <patternFill patternType="solid">
        <fgColor rgb="FF002060"/>
        <bgColor indexed="64"/>
      </patternFill>
    </fill>
  </fills>
  <borders count="2">
    <border>
      <left/>
      <right/>
      <top/>
      <bottom/>
      <diagonal/>
    </border>
    <border>
      <left/>
      <right/>
      <top/>
      <bottom style="thick">
        <color rgb="FFFFC000"/>
      </bottom>
      <diagonal/>
    </border>
  </borders>
  <cellStyleXfs count="3">
    <xf numFmtId="0" fontId="0" fillId="0" borderId="0"/>
    <xf numFmtId="164" fontId="1" fillId="0" borderId="0" applyFont="0" applyFill="0" applyBorder="0" applyAlignment="0" applyProtection="0"/>
    <xf numFmtId="44" fontId="1" fillId="0" borderId="0" applyFont="0" applyFill="0" applyBorder="0" applyAlignment="0" applyProtection="0"/>
  </cellStyleXfs>
  <cellXfs count="12">
    <xf numFmtId="0" fontId="0" fillId="0" borderId="0" xfId="0"/>
    <xf numFmtId="0" fontId="2" fillId="2" borderId="1" xfId="0" applyFont="1" applyFill="1" applyBorder="1" applyAlignment="1">
      <alignment horizontal="center" vertical="center"/>
    </xf>
    <xf numFmtId="14" fontId="0" fillId="0" borderId="0" xfId="0" applyNumberFormat="1" applyAlignment="1">
      <alignment horizontal="center"/>
    </xf>
    <xf numFmtId="0" fontId="0" fillId="0" borderId="0" xfId="0" applyAlignment="1">
      <alignment horizontal="left"/>
    </xf>
    <xf numFmtId="164" fontId="0" fillId="0" borderId="0" xfId="1" applyFont="1"/>
    <xf numFmtId="0" fontId="2" fillId="2" borderId="0" xfId="0" applyFont="1" applyFill="1" applyAlignment="1">
      <alignment horizontal="center" vertical="center"/>
    </xf>
    <xf numFmtId="164" fontId="0" fillId="0" borderId="0" xfId="0" applyNumberFormat="1"/>
    <xf numFmtId="0" fontId="0" fillId="0" borderId="0" xfId="0" pivotButton="1"/>
    <xf numFmtId="165" fontId="0" fillId="0" borderId="0" xfId="0" applyNumberFormat="1"/>
    <xf numFmtId="166" fontId="0" fillId="0" borderId="0" xfId="0" applyNumberFormat="1"/>
    <xf numFmtId="0" fontId="0" fillId="0" borderId="0" xfId="2" applyNumberFormat="1" applyFont="1"/>
    <xf numFmtId="0" fontId="0" fillId="0" borderId="0" xfId="0" applyNumberFormat="1"/>
  </cellXfs>
  <cellStyles count="3">
    <cellStyle name="Currency" xfId="2" builtinId="4"/>
    <cellStyle name="Currency [0]" xfId="1" builtinId="7"/>
    <cellStyle name="Normal" xfId="0" builtinId="0"/>
  </cellStyles>
  <dxfs count="9">
    <dxf>
      <numFmt numFmtId="164" formatCode="_ &quot;Rs.&quot;\ * #,##0_ ;_ &quot;Rs.&quot;\ * \-#,##0_ ;_ &quot;Rs.&quot;\ * &quot;-&quot;_ ;_ @_ "/>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alignment horizontal="left" vertical="bottom" textRotation="0" wrapText="0" indent="0" justifyLastLine="0" shrinkToFit="0" readingOrder="0"/>
    </dxf>
    <dxf>
      <numFmt numFmtId="19" formatCode="dd/mm/yyyy"/>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dxf>
    <dxf>
      <border outline="0">
        <bottom style="thick">
          <color rgb="FFFFC000"/>
        </bottom>
      </border>
    </dxf>
    <dxf>
      <font>
        <b val="0"/>
        <i val="0"/>
        <strike val="0"/>
        <condense val="0"/>
        <extend val="0"/>
        <outline val="0"/>
        <shadow val="0"/>
        <u val="none"/>
        <vertAlign val="baseline"/>
        <sz val="11"/>
        <color theme="0"/>
        <name val="Aptos Narrow"/>
        <family val="2"/>
        <scheme val="minor"/>
      </font>
      <fill>
        <patternFill patternType="solid">
          <fgColor indexed="64"/>
          <bgColor rgb="FF002060"/>
        </patternFill>
      </fill>
      <alignment horizontal="center" vertical="center" textRotation="0" wrapText="0" indent="0" justifyLastLine="0" shrinkToFit="0" readingOrder="0"/>
    </dxf>
  </dxfs>
  <tableStyles count="1" defaultTableStyle="TableStyleMedium2" defaultPivotStyle="PivotStyleLight16">
    <tableStyle name="Invisible" pivot="0" table="0" count="0" xr9:uid="{BDFCBA0C-0FAD-47E9-B8E0-311E6D449765}"/>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[Vishal_Activity_1.xlsx]Sheet2!PivotTable3</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Sheet2!$E$3</c:f>
              <c:strCache>
                <c:ptCount val="1"/>
                <c:pt idx="0">
                  <c:v>Total</c:v>
                </c:pt>
              </c:strCache>
            </c:strRef>
          </c:tx>
          <c:spPr>
            <a:solidFill>
              <a:schemeClr val="accent1"/>
            </a:solidFill>
            <a:ln>
              <a:noFill/>
            </a:ln>
            <a:effectLst/>
          </c:spPr>
          <c:invertIfNegative val="0"/>
          <c:cat>
            <c:strRef>
              <c:f>Sheet2!$D$4:$D$11</c:f>
              <c:strCache>
                <c:ptCount val="7"/>
                <c:pt idx="0">
                  <c:v>Action Figure</c:v>
                </c:pt>
                <c:pt idx="1">
                  <c:v>Blender</c:v>
                </c:pt>
                <c:pt idx="2">
                  <c:v>Moisturizer</c:v>
                </c:pt>
                <c:pt idx="3">
                  <c:v>Novel</c:v>
                </c:pt>
                <c:pt idx="4">
                  <c:v>Smartphone</c:v>
                </c:pt>
                <c:pt idx="5">
                  <c:v>Sneakers</c:v>
                </c:pt>
                <c:pt idx="6">
                  <c:v>Tent</c:v>
                </c:pt>
              </c:strCache>
            </c:strRef>
          </c:cat>
          <c:val>
            <c:numRef>
              <c:f>Sheet2!$E$4:$E$11</c:f>
              <c:numCache>
                <c:formatCode>""0\.00,"L"\ </c:formatCode>
                <c:ptCount val="7"/>
                <c:pt idx="0">
                  <c:v>547200</c:v>
                </c:pt>
                <c:pt idx="1">
                  <c:v>2222500</c:v>
                </c:pt>
                <c:pt idx="2">
                  <c:v>706800</c:v>
                </c:pt>
                <c:pt idx="3">
                  <c:v>898000</c:v>
                </c:pt>
                <c:pt idx="4">
                  <c:v>2350000</c:v>
                </c:pt>
                <c:pt idx="5">
                  <c:v>3196000</c:v>
                </c:pt>
                <c:pt idx="6">
                  <c:v>3024000</c:v>
                </c:pt>
              </c:numCache>
            </c:numRef>
          </c:val>
          <c:extLst>
            <c:ext xmlns:c16="http://schemas.microsoft.com/office/drawing/2014/chart" uri="{C3380CC4-5D6E-409C-BE32-E72D297353CC}">
              <c16:uniqueId val="{00000000-ED10-48F8-AC46-EA65C3C9A7F8}"/>
            </c:ext>
          </c:extLst>
        </c:ser>
        <c:dLbls>
          <c:showLegendKey val="0"/>
          <c:showVal val="0"/>
          <c:showCatName val="0"/>
          <c:showSerName val="0"/>
          <c:showPercent val="0"/>
          <c:showBubbleSize val="0"/>
        </c:dLbls>
        <c:gapWidth val="182"/>
        <c:axId val="144183472"/>
        <c:axId val="144186352"/>
      </c:barChart>
      <c:catAx>
        <c:axId val="14418347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186352"/>
        <c:crosses val="autoZero"/>
        <c:auto val="1"/>
        <c:lblAlgn val="ctr"/>
        <c:lblOffset val="100"/>
        <c:noMultiLvlLbl val="0"/>
      </c:catAx>
      <c:valAx>
        <c:axId val="144186352"/>
        <c:scaling>
          <c:orientation val="minMax"/>
        </c:scaling>
        <c:delete val="0"/>
        <c:axPos val="b"/>
        <c:majorGridlines>
          <c:spPr>
            <a:ln w="9525" cap="flat" cmpd="sng" algn="ctr">
              <a:solidFill>
                <a:schemeClr val="tx1">
                  <a:lumMod val="15000"/>
                  <a:lumOff val="85000"/>
                </a:schemeClr>
              </a:solidFill>
              <a:round/>
            </a:ln>
            <a:effectLst/>
          </c:spPr>
        </c:majorGridlines>
        <c:numFmt formatCode="&quot;&quot;0\.00,&quot;L&quot;\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1834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[Vishal_Activity_1.xlsx]Sheet2!PivotTable1</c:name>
    <c:fmtId val="5"/>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7.1408921554519444E-2"/>
              <c:y val="-7.5343923505153607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0.1084357697679741"/>
              <c:y val="-4.7089952190720978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0.11901486925753256"/>
              <c:y val="5.1798947409793079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0.14017306823664946"/>
              <c:y val="2.3544976095360489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Sheet2!$B$3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2-CA00-491B-8376-731A028A0F8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5-CA00-491B-8376-731A028A0F8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4-CA00-491B-8376-731A028A0F87}"/>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3-CA00-491B-8376-731A028A0F87}"/>
              </c:ext>
            </c:extLst>
          </c:dPt>
          <c:dLbls>
            <c:dLbl>
              <c:idx val="0"/>
              <c:layout>
                <c:manualLayout>
                  <c:x val="7.1408921554519444E-2"/>
                  <c:y val="-7.53439235051536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CA00-491B-8376-731A028A0F87}"/>
                </c:ext>
              </c:extLst>
            </c:dLbl>
            <c:dLbl>
              <c:idx val="1"/>
              <c:layout>
                <c:manualLayout>
                  <c:x val="0.14017306823664946"/>
                  <c:y val="2.354497609536048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A00-491B-8376-731A028A0F87}"/>
                </c:ext>
              </c:extLst>
            </c:dLbl>
            <c:dLbl>
              <c:idx val="2"/>
              <c:layout>
                <c:manualLayout>
                  <c:x val="-0.11901486925753256"/>
                  <c:y val="5.179894740979307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CA00-491B-8376-731A028A0F87}"/>
                </c:ext>
              </c:extLst>
            </c:dLbl>
            <c:dLbl>
              <c:idx val="3"/>
              <c:layout>
                <c:manualLayout>
                  <c:x val="-0.1084357697679741"/>
                  <c:y val="-4.708995219072097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A00-491B-8376-731A028A0F87}"/>
                </c:ext>
              </c:extLst>
            </c:dLbl>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Sheet2!$A$4:$A$8</c:f>
              <c:strCache>
                <c:ptCount val="4"/>
                <c:pt idx="0">
                  <c:v>West</c:v>
                </c:pt>
                <c:pt idx="1">
                  <c:v>South</c:v>
                </c:pt>
                <c:pt idx="2">
                  <c:v>North</c:v>
                </c:pt>
                <c:pt idx="3">
                  <c:v>East</c:v>
                </c:pt>
              </c:strCache>
            </c:strRef>
          </c:cat>
          <c:val>
            <c:numRef>
              <c:f>Sheet2!$B$4:$B$8</c:f>
              <c:numCache>
                <c:formatCode>"Rs. "0\.00,"L"</c:formatCode>
                <c:ptCount val="4"/>
                <c:pt idx="0">
                  <c:v>3878100</c:v>
                </c:pt>
                <c:pt idx="1">
                  <c:v>2870600</c:v>
                </c:pt>
                <c:pt idx="2">
                  <c:v>2661400</c:v>
                </c:pt>
                <c:pt idx="3">
                  <c:v>3534400</c:v>
                </c:pt>
              </c:numCache>
            </c:numRef>
          </c:val>
          <c:extLst>
            <c:ext xmlns:c16="http://schemas.microsoft.com/office/drawing/2014/chart" uri="{C3380CC4-5D6E-409C-BE32-E72D297353CC}">
              <c16:uniqueId val="{00000000-CA00-491B-8376-731A028A0F87}"/>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[Vishal_Activity_1.xlsx]Sheet2!PivotTable4</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Sheet2!$H$3</c:f>
              <c:strCache>
                <c:ptCount val="1"/>
                <c:pt idx="0">
                  <c:v>Total</c:v>
                </c:pt>
              </c:strCache>
            </c:strRef>
          </c:tx>
          <c:spPr>
            <a:solidFill>
              <a:schemeClr val="accent1"/>
            </a:solidFill>
            <a:ln>
              <a:noFill/>
            </a:ln>
            <a:effectLst/>
          </c:spPr>
          <c:invertIfNegative val="0"/>
          <c:cat>
            <c:strRef>
              <c:f>Sheet2!$G$4:$G$14</c:f>
              <c:strCache>
                <c:ptCount val="10"/>
                <c:pt idx="0">
                  <c:v>Andrew</c:v>
                </c:pt>
                <c:pt idx="1">
                  <c:v>Anna</c:v>
                </c:pt>
                <c:pt idx="2">
                  <c:v>Cameron</c:v>
                </c:pt>
                <c:pt idx="3">
                  <c:v>Carolyn</c:v>
                </c:pt>
                <c:pt idx="4">
                  <c:v>Connor</c:v>
                </c:pt>
                <c:pt idx="5">
                  <c:v>Ella</c:v>
                </c:pt>
                <c:pt idx="6">
                  <c:v>Grace</c:v>
                </c:pt>
                <c:pt idx="7">
                  <c:v>Megan</c:v>
                </c:pt>
                <c:pt idx="8">
                  <c:v>Nicholas</c:v>
                </c:pt>
                <c:pt idx="9">
                  <c:v>Virginia</c:v>
                </c:pt>
              </c:strCache>
            </c:strRef>
          </c:cat>
          <c:val>
            <c:numRef>
              <c:f>Sheet2!$H$4:$H$14</c:f>
              <c:numCache>
                <c:formatCode>""0\.00,"L"\ </c:formatCode>
                <c:ptCount val="10"/>
                <c:pt idx="0">
                  <c:v>1591600</c:v>
                </c:pt>
                <c:pt idx="1">
                  <c:v>677600</c:v>
                </c:pt>
                <c:pt idx="2">
                  <c:v>1957000</c:v>
                </c:pt>
                <c:pt idx="3">
                  <c:v>1661400</c:v>
                </c:pt>
                <c:pt idx="4">
                  <c:v>1741200</c:v>
                </c:pt>
                <c:pt idx="5">
                  <c:v>1110000</c:v>
                </c:pt>
                <c:pt idx="6">
                  <c:v>1777400</c:v>
                </c:pt>
                <c:pt idx="7">
                  <c:v>1065400</c:v>
                </c:pt>
                <c:pt idx="8">
                  <c:v>784400</c:v>
                </c:pt>
                <c:pt idx="9">
                  <c:v>578500</c:v>
                </c:pt>
              </c:numCache>
            </c:numRef>
          </c:val>
          <c:extLst>
            <c:ext xmlns:c16="http://schemas.microsoft.com/office/drawing/2014/chart" uri="{C3380CC4-5D6E-409C-BE32-E72D297353CC}">
              <c16:uniqueId val="{00000000-DEC9-4EEA-AA2A-7FC4D71F2171}"/>
            </c:ext>
          </c:extLst>
        </c:ser>
        <c:dLbls>
          <c:showLegendKey val="0"/>
          <c:showVal val="0"/>
          <c:showCatName val="0"/>
          <c:showSerName val="0"/>
          <c:showPercent val="0"/>
          <c:showBubbleSize val="0"/>
        </c:dLbls>
        <c:gapWidth val="219"/>
        <c:overlap val="-27"/>
        <c:axId val="315505936"/>
        <c:axId val="315504976"/>
      </c:barChart>
      <c:catAx>
        <c:axId val="3155059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5504976"/>
        <c:crosses val="autoZero"/>
        <c:auto val="1"/>
        <c:lblAlgn val="ctr"/>
        <c:lblOffset val="100"/>
        <c:noMultiLvlLbl val="0"/>
      </c:catAx>
      <c:valAx>
        <c:axId val="31550497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quot;L&quot;\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55059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[Vishal_Activity_1.xlsx]Sheet2!PivotTable5</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Sheet2!$L$3</c:f>
              <c:strCache>
                <c:ptCount val="1"/>
                <c:pt idx="0">
                  <c:v>Total</c:v>
                </c:pt>
              </c:strCache>
            </c:strRef>
          </c:tx>
          <c:spPr>
            <a:ln w="28575" cap="rnd">
              <a:solidFill>
                <a:schemeClr val="accent1"/>
              </a:solidFill>
              <a:round/>
            </a:ln>
            <a:effectLst/>
          </c:spPr>
          <c:marker>
            <c:symbol val="none"/>
          </c:marker>
          <c:cat>
            <c:strRef>
              <c:f>Sheet2!$K$4:$K$11</c:f>
              <c:strCache>
                <c:ptCount val="7"/>
                <c:pt idx="0">
                  <c:v>Action Figure</c:v>
                </c:pt>
                <c:pt idx="1">
                  <c:v>Blender</c:v>
                </c:pt>
                <c:pt idx="2">
                  <c:v>Moisturizer</c:v>
                </c:pt>
                <c:pt idx="3">
                  <c:v>Novel</c:v>
                </c:pt>
                <c:pt idx="4">
                  <c:v>Smartphone</c:v>
                </c:pt>
                <c:pt idx="5">
                  <c:v>Sneakers</c:v>
                </c:pt>
                <c:pt idx="6">
                  <c:v>Tent</c:v>
                </c:pt>
              </c:strCache>
            </c:strRef>
          </c:cat>
          <c:val>
            <c:numRef>
              <c:f>Sheet2!$L$4:$L$11</c:f>
              <c:numCache>
                <c:formatCode>General</c:formatCode>
                <c:ptCount val="7"/>
                <c:pt idx="0">
                  <c:v>456</c:v>
                </c:pt>
                <c:pt idx="1">
                  <c:v>635</c:v>
                </c:pt>
                <c:pt idx="2">
                  <c:v>1178</c:v>
                </c:pt>
                <c:pt idx="3">
                  <c:v>898</c:v>
                </c:pt>
                <c:pt idx="4">
                  <c:v>235</c:v>
                </c:pt>
                <c:pt idx="5">
                  <c:v>799</c:v>
                </c:pt>
                <c:pt idx="6">
                  <c:v>504</c:v>
                </c:pt>
              </c:numCache>
            </c:numRef>
          </c:val>
          <c:smooth val="0"/>
          <c:extLst>
            <c:ext xmlns:c16="http://schemas.microsoft.com/office/drawing/2014/chart" uri="{C3380CC4-5D6E-409C-BE32-E72D297353CC}">
              <c16:uniqueId val="{00000000-DFE5-420E-B29D-8641EF3C0169}"/>
            </c:ext>
          </c:extLst>
        </c:ser>
        <c:dLbls>
          <c:showLegendKey val="0"/>
          <c:showVal val="0"/>
          <c:showCatName val="0"/>
          <c:showSerName val="0"/>
          <c:showPercent val="0"/>
          <c:showBubbleSize val="0"/>
        </c:dLbls>
        <c:smooth val="0"/>
        <c:axId val="300176080"/>
        <c:axId val="300172720"/>
      </c:lineChart>
      <c:catAx>
        <c:axId val="300176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0172720"/>
        <c:crosses val="autoZero"/>
        <c:auto val="1"/>
        <c:lblAlgn val="ctr"/>
        <c:lblOffset val="100"/>
        <c:noMultiLvlLbl val="0"/>
      </c:catAx>
      <c:valAx>
        <c:axId val="3001727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01760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[Vishal_Activity_1.xlsx]Sheet2!PivotTable3</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Sheet2!$E$3</c:f>
              <c:strCache>
                <c:ptCount val="1"/>
                <c:pt idx="0">
                  <c:v>Total</c:v>
                </c:pt>
              </c:strCache>
            </c:strRef>
          </c:tx>
          <c:spPr>
            <a:solidFill>
              <a:schemeClr val="accent1"/>
            </a:solidFill>
            <a:ln>
              <a:noFill/>
            </a:ln>
            <a:effectLst/>
          </c:spPr>
          <c:invertIfNegative val="0"/>
          <c:cat>
            <c:strRef>
              <c:f>Sheet2!$D$4:$D$11</c:f>
              <c:strCache>
                <c:ptCount val="7"/>
                <c:pt idx="0">
                  <c:v>Action Figure</c:v>
                </c:pt>
                <c:pt idx="1">
                  <c:v>Blender</c:v>
                </c:pt>
                <c:pt idx="2">
                  <c:v>Moisturizer</c:v>
                </c:pt>
                <c:pt idx="3">
                  <c:v>Novel</c:v>
                </c:pt>
                <c:pt idx="4">
                  <c:v>Smartphone</c:v>
                </c:pt>
                <c:pt idx="5">
                  <c:v>Sneakers</c:v>
                </c:pt>
                <c:pt idx="6">
                  <c:v>Tent</c:v>
                </c:pt>
              </c:strCache>
            </c:strRef>
          </c:cat>
          <c:val>
            <c:numRef>
              <c:f>Sheet2!$E$4:$E$11</c:f>
              <c:numCache>
                <c:formatCode>""0\.00,"L"\ </c:formatCode>
                <c:ptCount val="7"/>
                <c:pt idx="0">
                  <c:v>547200</c:v>
                </c:pt>
                <c:pt idx="1">
                  <c:v>2222500</c:v>
                </c:pt>
                <c:pt idx="2">
                  <c:v>706800</c:v>
                </c:pt>
                <c:pt idx="3">
                  <c:v>898000</c:v>
                </c:pt>
                <c:pt idx="4">
                  <c:v>2350000</c:v>
                </c:pt>
                <c:pt idx="5">
                  <c:v>3196000</c:v>
                </c:pt>
                <c:pt idx="6">
                  <c:v>3024000</c:v>
                </c:pt>
              </c:numCache>
            </c:numRef>
          </c:val>
          <c:extLst>
            <c:ext xmlns:c16="http://schemas.microsoft.com/office/drawing/2014/chart" uri="{C3380CC4-5D6E-409C-BE32-E72D297353CC}">
              <c16:uniqueId val="{00000000-8B9C-4E53-BA5C-A476F6000C9C}"/>
            </c:ext>
          </c:extLst>
        </c:ser>
        <c:dLbls>
          <c:showLegendKey val="0"/>
          <c:showVal val="0"/>
          <c:showCatName val="0"/>
          <c:showSerName val="0"/>
          <c:showPercent val="0"/>
          <c:showBubbleSize val="0"/>
        </c:dLbls>
        <c:gapWidth val="182"/>
        <c:axId val="144183472"/>
        <c:axId val="144186352"/>
      </c:barChart>
      <c:catAx>
        <c:axId val="14418347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186352"/>
        <c:crosses val="autoZero"/>
        <c:auto val="1"/>
        <c:lblAlgn val="ctr"/>
        <c:lblOffset val="100"/>
        <c:noMultiLvlLbl val="0"/>
      </c:catAx>
      <c:valAx>
        <c:axId val="144186352"/>
        <c:scaling>
          <c:orientation val="minMax"/>
        </c:scaling>
        <c:delete val="0"/>
        <c:axPos val="b"/>
        <c:majorGridlines>
          <c:spPr>
            <a:ln w="9525" cap="flat" cmpd="sng" algn="ctr">
              <a:solidFill>
                <a:schemeClr val="tx1">
                  <a:lumMod val="15000"/>
                  <a:lumOff val="85000"/>
                </a:schemeClr>
              </a:solidFill>
              <a:round/>
            </a:ln>
            <a:effectLst/>
          </c:spPr>
        </c:majorGridlines>
        <c:numFmt formatCode="&quot;&quot;0\.00,&quot;L&quot;\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1834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[Vishal_Activity_1.xlsx]Sheet2!PivotTable1</c:name>
    <c:fmtId val="7"/>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7.1408921554519444E-2"/>
              <c:y val="-7.5343923505153607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4"/>
          </a:solidFill>
          <a:ln w="19050">
            <a:solidFill>
              <a:schemeClr val="lt1"/>
            </a:solidFill>
          </a:ln>
          <a:effectLst/>
        </c:spPr>
        <c:dLbl>
          <c:idx val="0"/>
          <c:layout>
            <c:manualLayout>
              <c:x val="-0.1084357697679741"/>
              <c:y val="-4.7089952190720978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solidFill>
          <a:ln w="19050">
            <a:solidFill>
              <a:schemeClr val="lt1"/>
            </a:solidFill>
          </a:ln>
          <a:effectLst/>
        </c:spPr>
        <c:dLbl>
          <c:idx val="0"/>
          <c:layout>
            <c:manualLayout>
              <c:x val="-0.11901486925753256"/>
              <c:y val="5.1798947409793079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solidFill>
          <a:ln w="19050">
            <a:solidFill>
              <a:schemeClr val="lt1"/>
            </a:solidFill>
          </a:ln>
          <a:effectLst/>
        </c:spPr>
        <c:dLbl>
          <c:idx val="0"/>
          <c:layout>
            <c:manualLayout>
              <c:x val="0.14017306823664946"/>
              <c:y val="2.3544976095360489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7.1408921554519444E-2"/>
              <c:y val="-7.5343923505153607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0.14017306823664946"/>
              <c:y val="2.3544976095360489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0.11901486925753256"/>
              <c:y val="5.1798947409793079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0.1084357697679741"/>
              <c:y val="-4.7089952190720978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dLbl>
          <c:idx val="0"/>
          <c:layout>
            <c:manualLayout>
              <c:x val="7.1408921554519444E-2"/>
              <c:y val="-7.5343923505153607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dLbl>
          <c:idx val="0"/>
          <c:layout>
            <c:manualLayout>
              <c:x val="0.14017306823664946"/>
              <c:y val="2.3544976095360489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dLbl>
          <c:idx val="0"/>
          <c:layout>
            <c:manualLayout>
              <c:x val="-0.11901486925753256"/>
              <c:y val="5.1798947409793079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dLbl>
          <c:idx val="0"/>
          <c:layout>
            <c:manualLayout>
              <c:x val="-0.1084357697679741"/>
              <c:y val="-4.7089952190720978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Sheet2!$B$3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CF8-4DF9-A08B-665A4D1D196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CF8-4DF9-A08B-665A4D1D196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CF8-4DF9-A08B-665A4D1D196F}"/>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2CF8-4DF9-A08B-665A4D1D196F}"/>
              </c:ext>
            </c:extLst>
          </c:dPt>
          <c:dLbls>
            <c:dLbl>
              <c:idx val="0"/>
              <c:layout>
                <c:manualLayout>
                  <c:x val="7.1408921554519444E-2"/>
                  <c:y val="-7.53439235051536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2CF8-4DF9-A08B-665A4D1D196F}"/>
                </c:ext>
              </c:extLst>
            </c:dLbl>
            <c:dLbl>
              <c:idx val="1"/>
              <c:layout>
                <c:manualLayout>
                  <c:x val="0.14017306823664946"/>
                  <c:y val="2.354497609536048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2CF8-4DF9-A08B-665A4D1D196F}"/>
                </c:ext>
              </c:extLst>
            </c:dLbl>
            <c:dLbl>
              <c:idx val="2"/>
              <c:layout>
                <c:manualLayout>
                  <c:x val="-0.11901486925753256"/>
                  <c:y val="5.179894740979307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2CF8-4DF9-A08B-665A4D1D196F}"/>
                </c:ext>
              </c:extLst>
            </c:dLbl>
            <c:dLbl>
              <c:idx val="3"/>
              <c:layout>
                <c:manualLayout>
                  <c:x val="-0.1084357697679741"/>
                  <c:y val="-4.708995219072097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2CF8-4DF9-A08B-665A4D1D196F}"/>
                </c:ext>
              </c:extLst>
            </c:dLbl>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Sheet2!$A$4:$A$8</c:f>
              <c:strCache>
                <c:ptCount val="4"/>
                <c:pt idx="0">
                  <c:v>West</c:v>
                </c:pt>
                <c:pt idx="1">
                  <c:v>South</c:v>
                </c:pt>
                <c:pt idx="2">
                  <c:v>North</c:v>
                </c:pt>
                <c:pt idx="3">
                  <c:v>East</c:v>
                </c:pt>
              </c:strCache>
            </c:strRef>
          </c:cat>
          <c:val>
            <c:numRef>
              <c:f>Sheet2!$B$4:$B$8</c:f>
              <c:numCache>
                <c:formatCode>"Rs. "0\.00,"L"</c:formatCode>
                <c:ptCount val="4"/>
                <c:pt idx="0">
                  <c:v>3878100</c:v>
                </c:pt>
                <c:pt idx="1">
                  <c:v>2870600</c:v>
                </c:pt>
                <c:pt idx="2">
                  <c:v>2661400</c:v>
                </c:pt>
                <c:pt idx="3">
                  <c:v>3534400</c:v>
                </c:pt>
              </c:numCache>
            </c:numRef>
          </c:val>
          <c:extLst>
            <c:ext xmlns:c16="http://schemas.microsoft.com/office/drawing/2014/chart" uri="{C3380CC4-5D6E-409C-BE32-E72D297353CC}">
              <c16:uniqueId val="{00000008-2CF8-4DF9-A08B-665A4D1D196F}"/>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solidFill>
      <a:round/>
    </a:ln>
    <a:effectLst/>
  </c:spPr>
  <c:txPr>
    <a:bodyPr/>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[Vishal_Activity_1.xlsx]Sheet2!PivotTable5</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Sheet2!$L$3</c:f>
              <c:strCache>
                <c:ptCount val="1"/>
                <c:pt idx="0">
                  <c:v>Total</c:v>
                </c:pt>
              </c:strCache>
            </c:strRef>
          </c:tx>
          <c:spPr>
            <a:ln w="28575" cap="rnd">
              <a:solidFill>
                <a:schemeClr val="accent1"/>
              </a:solidFill>
              <a:round/>
            </a:ln>
            <a:effectLst/>
          </c:spPr>
          <c:marker>
            <c:symbol val="none"/>
          </c:marker>
          <c:cat>
            <c:strRef>
              <c:f>Sheet2!$K$4:$K$11</c:f>
              <c:strCache>
                <c:ptCount val="7"/>
                <c:pt idx="0">
                  <c:v>Action Figure</c:v>
                </c:pt>
                <c:pt idx="1">
                  <c:v>Blender</c:v>
                </c:pt>
                <c:pt idx="2">
                  <c:v>Moisturizer</c:v>
                </c:pt>
                <c:pt idx="3">
                  <c:v>Novel</c:v>
                </c:pt>
                <c:pt idx="4">
                  <c:v>Smartphone</c:v>
                </c:pt>
                <c:pt idx="5">
                  <c:v>Sneakers</c:v>
                </c:pt>
                <c:pt idx="6">
                  <c:v>Tent</c:v>
                </c:pt>
              </c:strCache>
            </c:strRef>
          </c:cat>
          <c:val>
            <c:numRef>
              <c:f>Sheet2!$L$4:$L$11</c:f>
              <c:numCache>
                <c:formatCode>General</c:formatCode>
                <c:ptCount val="7"/>
                <c:pt idx="0">
                  <c:v>456</c:v>
                </c:pt>
                <c:pt idx="1">
                  <c:v>635</c:v>
                </c:pt>
                <c:pt idx="2">
                  <c:v>1178</c:v>
                </c:pt>
                <c:pt idx="3">
                  <c:v>898</c:v>
                </c:pt>
                <c:pt idx="4">
                  <c:v>235</c:v>
                </c:pt>
                <c:pt idx="5">
                  <c:v>799</c:v>
                </c:pt>
                <c:pt idx="6">
                  <c:v>504</c:v>
                </c:pt>
              </c:numCache>
            </c:numRef>
          </c:val>
          <c:smooth val="0"/>
          <c:extLst>
            <c:ext xmlns:c16="http://schemas.microsoft.com/office/drawing/2014/chart" uri="{C3380CC4-5D6E-409C-BE32-E72D297353CC}">
              <c16:uniqueId val="{00000000-19D5-47F6-B801-23B2D00B670D}"/>
            </c:ext>
          </c:extLst>
        </c:ser>
        <c:dLbls>
          <c:showLegendKey val="0"/>
          <c:showVal val="0"/>
          <c:showCatName val="0"/>
          <c:showSerName val="0"/>
          <c:showPercent val="0"/>
          <c:showBubbleSize val="0"/>
        </c:dLbls>
        <c:smooth val="0"/>
        <c:axId val="300176080"/>
        <c:axId val="300172720"/>
      </c:lineChart>
      <c:catAx>
        <c:axId val="300176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0172720"/>
        <c:crosses val="autoZero"/>
        <c:auto val="1"/>
        <c:lblAlgn val="ctr"/>
        <c:lblOffset val="100"/>
        <c:noMultiLvlLbl val="0"/>
      </c:catAx>
      <c:valAx>
        <c:axId val="3001727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01760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[Vishal_Activity_1.xlsx]Sheet2!PivotTable4</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Sheet2!$H$3</c:f>
              <c:strCache>
                <c:ptCount val="1"/>
                <c:pt idx="0">
                  <c:v>Total</c:v>
                </c:pt>
              </c:strCache>
            </c:strRef>
          </c:tx>
          <c:spPr>
            <a:solidFill>
              <a:schemeClr val="accent1"/>
            </a:solidFill>
            <a:ln>
              <a:noFill/>
            </a:ln>
            <a:effectLst/>
          </c:spPr>
          <c:invertIfNegative val="0"/>
          <c:cat>
            <c:strRef>
              <c:f>Sheet2!$G$4:$G$14</c:f>
              <c:strCache>
                <c:ptCount val="10"/>
                <c:pt idx="0">
                  <c:v>Andrew</c:v>
                </c:pt>
                <c:pt idx="1">
                  <c:v>Anna</c:v>
                </c:pt>
                <c:pt idx="2">
                  <c:v>Cameron</c:v>
                </c:pt>
                <c:pt idx="3">
                  <c:v>Carolyn</c:v>
                </c:pt>
                <c:pt idx="4">
                  <c:v>Connor</c:v>
                </c:pt>
                <c:pt idx="5">
                  <c:v>Ella</c:v>
                </c:pt>
                <c:pt idx="6">
                  <c:v>Grace</c:v>
                </c:pt>
                <c:pt idx="7">
                  <c:v>Megan</c:v>
                </c:pt>
                <c:pt idx="8">
                  <c:v>Nicholas</c:v>
                </c:pt>
                <c:pt idx="9">
                  <c:v>Virginia</c:v>
                </c:pt>
              </c:strCache>
            </c:strRef>
          </c:cat>
          <c:val>
            <c:numRef>
              <c:f>Sheet2!$H$4:$H$14</c:f>
              <c:numCache>
                <c:formatCode>""0\.00,"L"\ </c:formatCode>
                <c:ptCount val="10"/>
                <c:pt idx="0">
                  <c:v>1591600</c:v>
                </c:pt>
                <c:pt idx="1">
                  <c:v>677600</c:v>
                </c:pt>
                <c:pt idx="2">
                  <c:v>1957000</c:v>
                </c:pt>
                <c:pt idx="3">
                  <c:v>1661400</c:v>
                </c:pt>
                <c:pt idx="4">
                  <c:v>1741200</c:v>
                </c:pt>
                <c:pt idx="5">
                  <c:v>1110000</c:v>
                </c:pt>
                <c:pt idx="6">
                  <c:v>1777400</c:v>
                </c:pt>
                <c:pt idx="7">
                  <c:v>1065400</c:v>
                </c:pt>
                <c:pt idx="8">
                  <c:v>784400</c:v>
                </c:pt>
                <c:pt idx="9">
                  <c:v>578500</c:v>
                </c:pt>
              </c:numCache>
            </c:numRef>
          </c:val>
          <c:extLst>
            <c:ext xmlns:c16="http://schemas.microsoft.com/office/drawing/2014/chart" uri="{C3380CC4-5D6E-409C-BE32-E72D297353CC}">
              <c16:uniqueId val="{00000000-1D92-4C2E-9C2F-953045841B3E}"/>
            </c:ext>
          </c:extLst>
        </c:ser>
        <c:dLbls>
          <c:showLegendKey val="0"/>
          <c:showVal val="0"/>
          <c:showCatName val="0"/>
          <c:showSerName val="0"/>
          <c:showPercent val="0"/>
          <c:showBubbleSize val="0"/>
        </c:dLbls>
        <c:gapWidth val="219"/>
        <c:overlap val="-27"/>
        <c:axId val="315505936"/>
        <c:axId val="315504976"/>
      </c:barChart>
      <c:catAx>
        <c:axId val="3155059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5504976"/>
        <c:crosses val="autoZero"/>
        <c:auto val="1"/>
        <c:lblAlgn val="ctr"/>
        <c:lblOffset val="100"/>
        <c:noMultiLvlLbl val="0"/>
      </c:catAx>
      <c:valAx>
        <c:axId val="31550497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quot;L&quot;\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55059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8.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7.xml"/><Relationship Id="rId5" Type="http://schemas.openxmlformats.org/officeDocument/2006/relationships/image" Target="../media/image5.png"/><Relationship Id="rId10" Type="http://schemas.openxmlformats.org/officeDocument/2006/relationships/chart" Target="../charts/chart6.xml"/><Relationship Id="rId4" Type="http://schemas.openxmlformats.org/officeDocument/2006/relationships/image" Target="../media/image4.svg"/><Relationship Id="rId9"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0</xdr:col>
      <xdr:colOff>342900</xdr:colOff>
      <xdr:row>12</xdr:row>
      <xdr:rowOff>152400</xdr:rowOff>
    </xdr:from>
    <xdr:to>
      <xdr:col>5</xdr:col>
      <xdr:colOff>388620</xdr:colOff>
      <xdr:row>29</xdr:row>
      <xdr:rowOff>125730</xdr:rowOff>
    </xdr:to>
    <xdr:graphicFrame macro="">
      <xdr:nvGraphicFramePr>
        <xdr:cNvPr id="3" name="Chart 2">
          <a:extLst>
            <a:ext uri="{FF2B5EF4-FFF2-40B4-BE49-F238E27FC236}">
              <a16:creationId xmlns:a16="http://schemas.microsoft.com/office/drawing/2014/main" id="{DFDEAAE2-5182-0445-B1D4-52C4AC4E4AF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416015</xdr:colOff>
      <xdr:row>12</xdr:row>
      <xdr:rowOff>160538</xdr:rowOff>
    </xdr:from>
    <xdr:to>
      <xdr:col>11</xdr:col>
      <xdr:colOff>985918</xdr:colOff>
      <xdr:row>29</xdr:row>
      <xdr:rowOff>138544</xdr:rowOff>
    </xdr:to>
    <xdr:graphicFrame macro="">
      <xdr:nvGraphicFramePr>
        <xdr:cNvPr id="4" name="Chart 3">
          <a:extLst>
            <a:ext uri="{FF2B5EF4-FFF2-40B4-BE49-F238E27FC236}">
              <a16:creationId xmlns:a16="http://schemas.microsoft.com/office/drawing/2014/main" id="{E910B567-71B8-31FE-D760-9F490DA8EA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387927</xdr:colOff>
      <xdr:row>31</xdr:row>
      <xdr:rowOff>152400</xdr:rowOff>
    </xdr:from>
    <xdr:to>
      <xdr:col>5</xdr:col>
      <xdr:colOff>374071</xdr:colOff>
      <xdr:row>48</xdr:row>
      <xdr:rowOff>61825</xdr:rowOff>
    </xdr:to>
    <xdr:graphicFrame macro="">
      <xdr:nvGraphicFramePr>
        <xdr:cNvPr id="5" name="Chart 4">
          <a:extLst>
            <a:ext uri="{FF2B5EF4-FFF2-40B4-BE49-F238E27FC236}">
              <a16:creationId xmlns:a16="http://schemas.microsoft.com/office/drawing/2014/main" id="{C84EE147-EAD6-2C26-40B9-A39BBBC27BB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401781</xdr:colOff>
      <xdr:row>31</xdr:row>
      <xdr:rowOff>152399</xdr:rowOff>
    </xdr:from>
    <xdr:to>
      <xdr:col>11</xdr:col>
      <xdr:colOff>983672</xdr:colOff>
      <xdr:row>48</xdr:row>
      <xdr:rowOff>13854</xdr:rowOff>
    </xdr:to>
    <xdr:graphicFrame macro="">
      <xdr:nvGraphicFramePr>
        <xdr:cNvPr id="6" name="Chart 5">
          <a:extLst>
            <a:ext uri="{FF2B5EF4-FFF2-40B4-BE49-F238E27FC236}">
              <a16:creationId xmlns:a16="http://schemas.microsoft.com/office/drawing/2014/main" id="{F56F189E-610D-94C7-FF4B-FD0DCF26AF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35169</xdr:colOff>
      <xdr:row>0</xdr:row>
      <xdr:rowOff>22860</xdr:rowOff>
    </xdr:from>
    <xdr:to>
      <xdr:col>16</xdr:col>
      <xdr:colOff>257175</xdr:colOff>
      <xdr:row>4</xdr:row>
      <xdr:rowOff>9525</xdr:rowOff>
    </xdr:to>
    <xdr:sp macro="" textlink="">
      <xdr:nvSpPr>
        <xdr:cNvPr id="4" name="Rectangle: Rounded Corners 3">
          <a:extLst>
            <a:ext uri="{FF2B5EF4-FFF2-40B4-BE49-F238E27FC236}">
              <a16:creationId xmlns:a16="http://schemas.microsoft.com/office/drawing/2014/main" id="{FAD5732D-B4E7-ED3A-B6EB-3EBE270A8276}"/>
            </a:ext>
          </a:extLst>
        </xdr:cNvPr>
        <xdr:cNvSpPr/>
      </xdr:nvSpPr>
      <xdr:spPr>
        <a:xfrm>
          <a:off x="35169" y="22860"/>
          <a:ext cx="9975606" cy="710565"/>
        </a:xfrm>
        <a:prstGeom prst="roundRect">
          <a:avLst/>
        </a:prstGeom>
        <a:solidFill>
          <a:schemeClr val="tx1"/>
        </a:solidFill>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r>
            <a:rPr lang="en-IN" sz="3200"/>
            <a:t>                                                  </a:t>
          </a:r>
          <a:r>
            <a:rPr lang="en-IN" sz="3200">
              <a:latin typeface="Agency FB" panose="020B0503020202020204" pitchFamily="34" charset="0"/>
            </a:rPr>
            <a:t>SALES</a:t>
          </a:r>
          <a:r>
            <a:rPr lang="en-IN" sz="3200" baseline="0">
              <a:latin typeface="Agency FB" panose="020B0503020202020204" pitchFamily="34" charset="0"/>
            </a:rPr>
            <a:t> DASHBOARD</a:t>
          </a:r>
          <a:endParaRPr lang="en-IN" sz="3200">
            <a:latin typeface="Agency FB" panose="020B0503020202020204" pitchFamily="34" charset="0"/>
          </a:endParaRPr>
        </a:p>
      </xdr:txBody>
    </xdr:sp>
    <xdr:clientData/>
  </xdr:twoCellAnchor>
  <xdr:twoCellAnchor>
    <xdr:from>
      <xdr:col>0</xdr:col>
      <xdr:colOff>59055</xdr:colOff>
      <xdr:row>4</xdr:row>
      <xdr:rowOff>137160</xdr:rowOff>
    </xdr:from>
    <xdr:to>
      <xdr:col>3</xdr:col>
      <xdr:colOff>408536</xdr:colOff>
      <xdr:row>9</xdr:row>
      <xdr:rowOff>114300</xdr:rowOff>
    </xdr:to>
    <xdr:sp macro="" textlink="">
      <xdr:nvSpPr>
        <xdr:cNvPr id="6" name="Rectangle: Rounded Corners 5">
          <a:extLst>
            <a:ext uri="{FF2B5EF4-FFF2-40B4-BE49-F238E27FC236}">
              <a16:creationId xmlns:a16="http://schemas.microsoft.com/office/drawing/2014/main" id="{2190A9A2-46A8-12E4-AD60-D9B298D63B0B}"/>
            </a:ext>
          </a:extLst>
        </xdr:cNvPr>
        <xdr:cNvSpPr/>
      </xdr:nvSpPr>
      <xdr:spPr>
        <a:xfrm>
          <a:off x="59055" y="861060"/>
          <a:ext cx="2178281" cy="88201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400"/>
            <a:t>                           TOTAL SALES</a:t>
          </a:r>
        </a:p>
        <a:p>
          <a:pPr algn="l"/>
          <a:endParaRPr lang="en-IN" sz="1400" b="0" i="0" u="none" strike="noStrike">
            <a:solidFill>
              <a:schemeClr val="lt1"/>
            </a:solidFill>
            <a:effectLst/>
            <a:latin typeface="+mn-lt"/>
            <a:ea typeface="+mn-ea"/>
            <a:cs typeface="+mn-cs"/>
          </a:endParaRPr>
        </a:p>
        <a:p>
          <a:pPr algn="l"/>
          <a:r>
            <a:rPr lang="en-IN" sz="1400" b="0" i="0" u="none" strike="noStrike">
              <a:solidFill>
                <a:schemeClr val="lt1"/>
              </a:solidFill>
              <a:effectLst/>
              <a:latin typeface="+mn-lt"/>
              <a:ea typeface="+mn-ea"/>
              <a:cs typeface="+mn-cs"/>
            </a:rPr>
            <a:t>          </a:t>
          </a:r>
          <a:r>
            <a:rPr lang="en-IN" sz="1100" b="0" i="0" u="none" strike="noStrike">
              <a:solidFill>
                <a:schemeClr val="lt1"/>
              </a:solidFill>
              <a:effectLst/>
              <a:latin typeface="+mn-lt"/>
              <a:ea typeface="+mn-ea"/>
              <a:cs typeface="+mn-cs"/>
            </a:rPr>
            <a:t>                     Rs.   1,29,44,500 </a:t>
          </a:r>
          <a:endParaRPr lang="en-IN" sz="1400"/>
        </a:p>
      </xdr:txBody>
    </xdr:sp>
    <xdr:clientData/>
  </xdr:twoCellAnchor>
  <xdr:twoCellAnchor>
    <xdr:from>
      <xdr:col>3</xdr:col>
      <xdr:colOff>535305</xdr:colOff>
      <xdr:row>4</xdr:row>
      <xdr:rowOff>161925</xdr:rowOff>
    </xdr:from>
    <xdr:to>
      <xdr:col>7</xdr:col>
      <xdr:colOff>481618</xdr:colOff>
      <xdr:row>9</xdr:row>
      <xdr:rowOff>110490</xdr:rowOff>
    </xdr:to>
    <xdr:sp macro="" textlink="">
      <xdr:nvSpPr>
        <xdr:cNvPr id="7" name="Rectangle: Rounded Corners 6">
          <a:extLst>
            <a:ext uri="{FF2B5EF4-FFF2-40B4-BE49-F238E27FC236}">
              <a16:creationId xmlns:a16="http://schemas.microsoft.com/office/drawing/2014/main" id="{718ED3A7-3567-47A1-AB7A-D96A4C057FB4}"/>
            </a:ext>
          </a:extLst>
        </xdr:cNvPr>
        <xdr:cNvSpPr/>
      </xdr:nvSpPr>
      <xdr:spPr>
        <a:xfrm>
          <a:off x="2364105" y="885825"/>
          <a:ext cx="2384713" cy="85344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400"/>
            <a:t>                            AVERAGE</a:t>
          </a:r>
          <a:r>
            <a:rPr lang="en-IN" sz="1400" baseline="0"/>
            <a:t> SALES</a:t>
          </a:r>
        </a:p>
        <a:p>
          <a:pPr algn="l"/>
          <a:r>
            <a:rPr lang="en-IN" sz="1100" b="0" i="0" u="none" strike="noStrike">
              <a:solidFill>
                <a:schemeClr val="lt1"/>
              </a:solidFill>
              <a:effectLst/>
              <a:latin typeface="+mn-lt"/>
              <a:ea typeface="+mn-ea"/>
              <a:cs typeface="+mn-cs"/>
            </a:rPr>
            <a:t>            </a:t>
          </a:r>
        </a:p>
        <a:p>
          <a:pPr algn="l"/>
          <a:r>
            <a:rPr lang="en-IN" sz="1100" b="0" i="0" u="none" strike="noStrike">
              <a:solidFill>
                <a:schemeClr val="lt1"/>
              </a:solidFill>
              <a:effectLst/>
              <a:latin typeface="+mn-lt"/>
              <a:ea typeface="+mn-ea"/>
              <a:cs typeface="+mn-cs"/>
            </a:rPr>
            <a:t>                                   </a:t>
          </a:r>
          <a:r>
            <a:rPr lang="en-IN" sz="1100" b="0" i="0" u="none" strike="noStrike" baseline="0">
              <a:solidFill>
                <a:schemeClr val="lt1"/>
              </a:solidFill>
              <a:effectLst/>
              <a:latin typeface="+mn-lt"/>
              <a:ea typeface="+mn-ea"/>
              <a:cs typeface="+mn-cs"/>
            </a:rPr>
            <a:t>      </a:t>
          </a:r>
          <a:r>
            <a:rPr lang="en-IN" sz="1100" b="0" i="0" u="none" strike="noStrike">
              <a:solidFill>
                <a:schemeClr val="lt1"/>
              </a:solidFill>
              <a:effectLst/>
              <a:latin typeface="+mn-lt"/>
              <a:ea typeface="+mn-ea"/>
              <a:cs typeface="+mn-cs"/>
            </a:rPr>
            <a:t>  Rs. </a:t>
          </a:r>
          <a:r>
            <a:rPr lang="en-IN" sz="1100" b="0" i="0" u="none" strike="noStrike" baseline="0">
              <a:solidFill>
                <a:schemeClr val="lt1"/>
              </a:solidFill>
              <a:effectLst/>
              <a:latin typeface="+mn-lt"/>
              <a:ea typeface="+mn-ea"/>
              <a:cs typeface="+mn-cs"/>
            </a:rPr>
            <a:t>  </a:t>
          </a:r>
          <a:r>
            <a:rPr lang="en-IN" sz="1100" b="0" i="0" u="none" strike="noStrike">
              <a:solidFill>
                <a:schemeClr val="lt1"/>
              </a:solidFill>
              <a:effectLst/>
              <a:latin typeface="+mn-lt"/>
              <a:ea typeface="+mn-ea"/>
              <a:cs typeface="+mn-cs"/>
            </a:rPr>
            <a:t>2,58,890 </a:t>
          </a:r>
          <a:endParaRPr lang="en-IN" sz="1400"/>
        </a:p>
      </xdr:txBody>
    </xdr:sp>
    <xdr:clientData/>
  </xdr:twoCellAnchor>
  <xdr:twoCellAnchor>
    <xdr:from>
      <xdr:col>7</xdr:col>
      <xdr:colOff>601980</xdr:colOff>
      <xdr:row>4</xdr:row>
      <xdr:rowOff>172356</xdr:rowOff>
    </xdr:from>
    <xdr:to>
      <xdr:col>11</xdr:col>
      <xdr:colOff>464820</xdr:colOff>
      <xdr:row>9</xdr:row>
      <xdr:rowOff>120921</xdr:rowOff>
    </xdr:to>
    <xdr:sp macro="" textlink="">
      <xdr:nvSpPr>
        <xdr:cNvPr id="8" name="Rectangle: Rounded Corners 7">
          <a:extLst>
            <a:ext uri="{FF2B5EF4-FFF2-40B4-BE49-F238E27FC236}">
              <a16:creationId xmlns:a16="http://schemas.microsoft.com/office/drawing/2014/main" id="{E856C547-4B28-43E6-8C0E-0EC52A6EA685}"/>
            </a:ext>
          </a:extLst>
        </xdr:cNvPr>
        <xdr:cNvSpPr/>
      </xdr:nvSpPr>
      <xdr:spPr>
        <a:xfrm>
          <a:off x="4869180" y="896256"/>
          <a:ext cx="2301240" cy="85344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400"/>
            <a:t>                               UNIT SOLD</a:t>
          </a:r>
        </a:p>
        <a:p>
          <a:pPr algn="l"/>
          <a:r>
            <a:rPr lang="en-IN" sz="1400"/>
            <a:t>                                                     </a:t>
          </a:r>
        </a:p>
        <a:p>
          <a:pPr algn="l"/>
          <a:r>
            <a:rPr lang="en-IN" sz="1400" baseline="0"/>
            <a:t>                                       </a:t>
          </a:r>
          <a:r>
            <a:rPr lang="en-IN" sz="1400"/>
            <a:t>4705</a:t>
          </a:r>
        </a:p>
      </xdr:txBody>
    </xdr:sp>
    <xdr:clientData/>
  </xdr:twoCellAnchor>
  <xdr:twoCellAnchor>
    <xdr:from>
      <xdr:col>11</xdr:col>
      <xdr:colOff>599209</xdr:colOff>
      <xdr:row>4</xdr:row>
      <xdr:rowOff>160020</xdr:rowOff>
    </xdr:from>
    <xdr:to>
      <xdr:col>16</xdr:col>
      <xdr:colOff>232411</xdr:colOff>
      <xdr:row>9</xdr:row>
      <xdr:rowOff>108585</xdr:rowOff>
    </xdr:to>
    <xdr:sp macro="" textlink="">
      <xdr:nvSpPr>
        <xdr:cNvPr id="9" name="Rectangle: Rounded Corners 8">
          <a:extLst>
            <a:ext uri="{FF2B5EF4-FFF2-40B4-BE49-F238E27FC236}">
              <a16:creationId xmlns:a16="http://schemas.microsoft.com/office/drawing/2014/main" id="{E3087818-0350-4A61-B9AF-65735A256782}"/>
            </a:ext>
          </a:extLst>
        </xdr:cNvPr>
        <xdr:cNvSpPr/>
      </xdr:nvSpPr>
      <xdr:spPr>
        <a:xfrm>
          <a:off x="7304809" y="883920"/>
          <a:ext cx="2681202" cy="85344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400"/>
            <a:t>                                      TOTAL</a:t>
          </a:r>
          <a:r>
            <a:rPr lang="en-IN" sz="1400" baseline="0"/>
            <a:t> PROFIT</a:t>
          </a:r>
          <a:r>
            <a:rPr lang="en-IN" sz="1100" b="0" i="0" u="none" strike="noStrike">
              <a:solidFill>
                <a:schemeClr val="lt1"/>
              </a:solidFill>
              <a:effectLst/>
              <a:latin typeface="+mn-lt"/>
              <a:ea typeface="+mn-ea"/>
              <a:cs typeface="+mn-cs"/>
            </a:rPr>
            <a:t> </a:t>
          </a:r>
        </a:p>
        <a:p>
          <a:pPr algn="l"/>
          <a:r>
            <a:rPr lang="en-IN" sz="1100" b="0" i="0" u="none" strike="noStrike">
              <a:solidFill>
                <a:schemeClr val="lt1"/>
              </a:solidFill>
              <a:effectLst/>
              <a:latin typeface="+mn-lt"/>
              <a:ea typeface="+mn-ea"/>
              <a:cs typeface="+mn-cs"/>
            </a:rPr>
            <a:t>                                                                                 </a:t>
          </a:r>
        </a:p>
        <a:p>
          <a:pPr algn="l"/>
          <a:r>
            <a:rPr lang="en-IN" sz="1100" b="0" i="0" u="none" strike="noStrike">
              <a:solidFill>
                <a:schemeClr val="lt1"/>
              </a:solidFill>
              <a:effectLst/>
              <a:latin typeface="+mn-lt"/>
              <a:ea typeface="+mn-ea"/>
              <a:cs typeface="+mn-cs"/>
            </a:rPr>
            <a:t>                                              </a:t>
          </a:r>
          <a:r>
            <a:rPr lang="en-IN" sz="1400" b="0" i="0" u="none" strike="noStrike">
              <a:solidFill>
                <a:schemeClr val="lt1"/>
              </a:solidFill>
              <a:effectLst/>
              <a:latin typeface="+mn-lt"/>
              <a:ea typeface="+mn-ea"/>
              <a:cs typeface="+mn-cs"/>
            </a:rPr>
            <a:t>Rs.       38,34,400 </a:t>
          </a:r>
          <a:endParaRPr lang="en-IN" sz="1400"/>
        </a:p>
      </xdr:txBody>
    </xdr:sp>
    <xdr:clientData/>
  </xdr:twoCellAnchor>
  <xdr:twoCellAnchor editAs="oneCell">
    <xdr:from>
      <xdr:col>0</xdr:col>
      <xdr:colOff>93518</xdr:colOff>
      <xdr:row>4</xdr:row>
      <xdr:rowOff>77932</xdr:rowOff>
    </xdr:from>
    <xdr:to>
      <xdr:col>1</xdr:col>
      <xdr:colOff>398319</xdr:colOff>
      <xdr:row>9</xdr:row>
      <xdr:rowOff>77932</xdr:rowOff>
    </xdr:to>
    <xdr:pic>
      <xdr:nvPicPr>
        <xdr:cNvPr id="12" name="Graphic 11" descr="Coins with solid fill">
          <a:extLst>
            <a:ext uri="{FF2B5EF4-FFF2-40B4-BE49-F238E27FC236}">
              <a16:creationId xmlns:a16="http://schemas.microsoft.com/office/drawing/2014/main" id="{8F6237E6-1F2C-4D11-EB4B-18E8C9C91CA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3518" y="801832"/>
          <a:ext cx="914401" cy="904875"/>
        </a:xfrm>
        <a:prstGeom prst="rect">
          <a:avLst/>
        </a:prstGeom>
      </xdr:spPr>
    </xdr:pic>
    <xdr:clientData/>
  </xdr:twoCellAnchor>
  <xdr:twoCellAnchor editAs="oneCell">
    <xdr:from>
      <xdr:col>4</xdr:col>
      <xdr:colOff>45721</xdr:colOff>
      <xdr:row>4</xdr:row>
      <xdr:rowOff>97675</xdr:rowOff>
    </xdr:from>
    <xdr:to>
      <xdr:col>5</xdr:col>
      <xdr:colOff>357448</xdr:colOff>
      <xdr:row>9</xdr:row>
      <xdr:rowOff>102871</xdr:rowOff>
    </xdr:to>
    <xdr:pic>
      <xdr:nvPicPr>
        <xdr:cNvPr id="14" name="Graphic 13" descr="Money with solid fill">
          <a:extLst>
            <a:ext uri="{FF2B5EF4-FFF2-40B4-BE49-F238E27FC236}">
              <a16:creationId xmlns:a16="http://schemas.microsoft.com/office/drawing/2014/main" id="{4500A51C-C709-E7B5-405A-4174A48BF14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484121" y="821575"/>
          <a:ext cx="921327" cy="910071"/>
        </a:xfrm>
        <a:prstGeom prst="rect">
          <a:avLst/>
        </a:prstGeom>
      </xdr:spPr>
    </xdr:pic>
    <xdr:clientData/>
  </xdr:twoCellAnchor>
  <xdr:twoCellAnchor editAs="oneCell">
    <xdr:from>
      <xdr:col>12</xdr:col>
      <xdr:colOff>167054</xdr:colOff>
      <xdr:row>4</xdr:row>
      <xdr:rowOff>151374</xdr:rowOff>
    </xdr:from>
    <xdr:to>
      <xdr:col>13</xdr:col>
      <xdr:colOff>471854</xdr:colOff>
      <xdr:row>9</xdr:row>
      <xdr:rowOff>127928</xdr:rowOff>
    </xdr:to>
    <xdr:pic>
      <xdr:nvPicPr>
        <xdr:cNvPr id="17" name="Graphic 16" descr="Bar graph with upward trend with solid fill">
          <a:extLst>
            <a:ext uri="{FF2B5EF4-FFF2-40B4-BE49-F238E27FC236}">
              <a16:creationId xmlns:a16="http://schemas.microsoft.com/office/drawing/2014/main" id="{E3D53306-F305-F434-1976-EFD5475E114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82254" y="875274"/>
          <a:ext cx="914400" cy="881429"/>
        </a:xfrm>
        <a:prstGeom prst="rect">
          <a:avLst/>
        </a:prstGeom>
      </xdr:spPr>
    </xdr:pic>
    <xdr:clientData/>
  </xdr:twoCellAnchor>
  <xdr:twoCellAnchor editAs="oneCell">
    <xdr:from>
      <xdr:col>8</xdr:col>
      <xdr:colOff>90414</xdr:colOff>
      <xdr:row>4</xdr:row>
      <xdr:rowOff>151960</xdr:rowOff>
    </xdr:from>
    <xdr:to>
      <xdr:col>9</xdr:col>
      <xdr:colOff>395214</xdr:colOff>
      <xdr:row>9</xdr:row>
      <xdr:rowOff>128514</xdr:rowOff>
    </xdr:to>
    <xdr:pic>
      <xdr:nvPicPr>
        <xdr:cNvPr id="19" name="Graphic 18" descr="Database with solid fill">
          <a:extLst>
            <a:ext uri="{FF2B5EF4-FFF2-40B4-BE49-F238E27FC236}">
              <a16:creationId xmlns:a16="http://schemas.microsoft.com/office/drawing/2014/main" id="{CBE8B106-F8B8-7719-7C77-F1BD0E9C521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4967214" y="875860"/>
          <a:ext cx="914400" cy="881429"/>
        </a:xfrm>
        <a:prstGeom prst="rect">
          <a:avLst/>
        </a:prstGeom>
      </xdr:spPr>
    </xdr:pic>
    <xdr:clientData/>
  </xdr:twoCellAnchor>
  <xdr:twoCellAnchor>
    <xdr:from>
      <xdr:col>2</xdr:col>
      <xdr:colOff>447676</xdr:colOff>
      <xdr:row>10</xdr:row>
      <xdr:rowOff>50800</xdr:rowOff>
    </xdr:from>
    <xdr:to>
      <xdr:col>10</xdr:col>
      <xdr:colOff>0</xdr:colOff>
      <xdr:row>23</xdr:row>
      <xdr:rowOff>152400</xdr:rowOff>
    </xdr:to>
    <xdr:sp macro="" textlink="">
      <xdr:nvSpPr>
        <xdr:cNvPr id="20" name="Rectangle: Rounded Corners 19">
          <a:extLst>
            <a:ext uri="{FF2B5EF4-FFF2-40B4-BE49-F238E27FC236}">
              <a16:creationId xmlns:a16="http://schemas.microsoft.com/office/drawing/2014/main" id="{642E108C-1797-A364-619C-BFAE2E0575F9}"/>
            </a:ext>
          </a:extLst>
        </xdr:cNvPr>
        <xdr:cNvSpPr/>
      </xdr:nvSpPr>
      <xdr:spPr>
        <a:xfrm>
          <a:off x="1666876" y="1828800"/>
          <a:ext cx="4429124" cy="2413000"/>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190500</xdr:colOff>
      <xdr:row>10</xdr:row>
      <xdr:rowOff>63500</xdr:rowOff>
    </xdr:from>
    <xdr:to>
      <xdr:col>17</xdr:col>
      <xdr:colOff>409575</xdr:colOff>
      <xdr:row>24</xdr:row>
      <xdr:rowOff>38100</xdr:rowOff>
    </xdr:to>
    <xdr:sp macro="" textlink="">
      <xdr:nvSpPr>
        <xdr:cNvPr id="21" name="Rectangle: Rounded Corners 20">
          <a:extLst>
            <a:ext uri="{FF2B5EF4-FFF2-40B4-BE49-F238E27FC236}">
              <a16:creationId xmlns:a16="http://schemas.microsoft.com/office/drawing/2014/main" id="{D5EC934D-2106-427A-8E90-BC79DA500052}"/>
            </a:ext>
          </a:extLst>
        </xdr:cNvPr>
        <xdr:cNvSpPr/>
      </xdr:nvSpPr>
      <xdr:spPr>
        <a:xfrm>
          <a:off x="6286500" y="1841500"/>
          <a:ext cx="4486275" cy="2463800"/>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438149</xdr:colOff>
      <xdr:row>24</xdr:row>
      <xdr:rowOff>152400</xdr:rowOff>
    </xdr:from>
    <xdr:to>
      <xdr:col>9</xdr:col>
      <xdr:colOff>561974</xdr:colOff>
      <xdr:row>41</xdr:row>
      <xdr:rowOff>152400</xdr:rowOff>
    </xdr:to>
    <xdr:sp macro="" textlink="">
      <xdr:nvSpPr>
        <xdr:cNvPr id="22" name="Rectangle: Rounded Corners 21">
          <a:extLst>
            <a:ext uri="{FF2B5EF4-FFF2-40B4-BE49-F238E27FC236}">
              <a16:creationId xmlns:a16="http://schemas.microsoft.com/office/drawing/2014/main" id="{93E5F593-FBD2-4188-B04C-46E7FD20DB6A}"/>
            </a:ext>
          </a:extLst>
        </xdr:cNvPr>
        <xdr:cNvSpPr/>
      </xdr:nvSpPr>
      <xdr:spPr>
        <a:xfrm>
          <a:off x="1657349" y="4495800"/>
          <a:ext cx="4391025" cy="3076575"/>
        </a:xfrm>
        <a:prstGeom prst="round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180974</xdr:colOff>
      <xdr:row>24</xdr:row>
      <xdr:rowOff>165100</xdr:rowOff>
    </xdr:from>
    <xdr:to>
      <xdr:col>17</xdr:col>
      <xdr:colOff>381000</xdr:colOff>
      <xdr:row>41</xdr:row>
      <xdr:rowOff>161925</xdr:rowOff>
    </xdr:to>
    <xdr:sp macro="" textlink="">
      <xdr:nvSpPr>
        <xdr:cNvPr id="23" name="Rectangle: Rounded Corners 22">
          <a:extLst>
            <a:ext uri="{FF2B5EF4-FFF2-40B4-BE49-F238E27FC236}">
              <a16:creationId xmlns:a16="http://schemas.microsoft.com/office/drawing/2014/main" id="{7B136C76-0319-4686-921E-C3297BACAC7C}"/>
            </a:ext>
          </a:extLst>
        </xdr:cNvPr>
        <xdr:cNvSpPr/>
      </xdr:nvSpPr>
      <xdr:spPr>
        <a:xfrm>
          <a:off x="6276974" y="4508500"/>
          <a:ext cx="4467226" cy="3073400"/>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31751</xdr:colOff>
      <xdr:row>26</xdr:row>
      <xdr:rowOff>63500</xdr:rowOff>
    </xdr:from>
    <xdr:to>
      <xdr:col>9</xdr:col>
      <xdr:colOff>393701</xdr:colOff>
      <xdr:row>40</xdr:row>
      <xdr:rowOff>76200</xdr:rowOff>
    </xdr:to>
    <xdr:graphicFrame macro="">
      <xdr:nvGraphicFramePr>
        <xdr:cNvPr id="24" name="Chart 23">
          <a:extLst>
            <a:ext uri="{FF2B5EF4-FFF2-40B4-BE49-F238E27FC236}">
              <a16:creationId xmlns:a16="http://schemas.microsoft.com/office/drawing/2014/main" id="{80FBB8C7-3320-44DA-ACBC-D27B6B79AF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10</xdr:col>
      <xdr:colOff>415925</xdr:colOff>
      <xdr:row>12</xdr:row>
      <xdr:rowOff>12700</xdr:rowOff>
    </xdr:from>
    <xdr:to>
      <xdr:col>17</xdr:col>
      <xdr:colOff>234950</xdr:colOff>
      <xdr:row>23</xdr:row>
      <xdr:rowOff>22225</xdr:rowOff>
    </xdr:to>
    <xdr:graphicFrame macro="">
      <xdr:nvGraphicFramePr>
        <xdr:cNvPr id="25" name="Chart 24">
          <a:extLst>
            <a:ext uri="{FF2B5EF4-FFF2-40B4-BE49-F238E27FC236}">
              <a16:creationId xmlns:a16="http://schemas.microsoft.com/office/drawing/2014/main" id="{1A555DC6-5147-4F1C-8DBC-60ADF80EFFB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3</xdr:col>
      <xdr:colOff>114300</xdr:colOff>
      <xdr:row>11</xdr:row>
      <xdr:rowOff>57151</xdr:rowOff>
    </xdr:from>
    <xdr:to>
      <xdr:col>9</xdr:col>
      <xdr:colOff>323850</xdr:colOff>
      <xdr:row>22</xdr:row>
      <xdr:rowOff>101601</xdr:rowOff>
    </xdr:to>
    <xdr:graphicFrame macro="">
      <xdr:nvGraphicFramePr>
        <xdr:cNvPr id="26" name="Chart 25">
          <a:extLst>
            <a:ext uri="{FF2B5EF4-FFF2-40B4-BE49-F238E27FC236}">
              <a16:creationId xmlns:a16="http://schemas.microsoft.com/office/drawing/2014/main" id="{5DAC3577-E21C-4179-BFA2-3CA3A8A290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10</xdr:col>
      <xdr:colOff>412750</xdr:colOff>
      <xdr:row>26</xdr:row>
      <xdr:rowOff>9525</xdr:rowOff>
    </xdr:from>
    <xdr:to>
      <xdr:col>17</xdr:col>
      <xdr:colOff>203199</xdr:colOff>
      <xdr:row>40</xdr:row>
      <xdr:rowOff>57150</xdr:rowOff>
    </xdr:to>
    <xdr:graphicFrame macro="">
      <xdr:nvGraphicFramePr>
        <xdr:cNvPr id="27" name="Chart 26">
          <a:extLst>
            <a:ext uri="{FF2B5EF4-FFF2-40B4-BE49-F238E27FC236}">
              <a16:creationId xmlns:a16="http://schemas.microsoft.com/office/drawing/2014/main" id="{B7568547-A7C2-4B21-B349-478DC31F407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76199</xdr:colOff>
      <xdr:row>10</xdr:row>
      <xdr:rowOff>9526</xdr:rowOff>
    </xdr:from>
    <xdr:to>
      <xdr:col>2</xdr:col>
      <xdr:colOff>314324</xdr:colOff>
      <xdr:row>22</xdr:row>
      <xdr:rowOff>161925</xdr:rowOff>
    </xdr:to>
    <mc:AlternateContent xmlns:mc="http://schemas.openxmlformats.org/markup-compatibility/2006" xmlns:a14="http://schemas.microsoft.com/office/drawing/2010/main">
      <mc:Choice Requires="a14">
        <xdr:graphicFrame macro="">
          <xdr:nvGraphicFramePr>
            <xdr:cNvPr id="28" name="Product">
              <a:extLst>
                <a:ext uri="{FF2B5EF4-FFF2-40B4-BE49-F238E27FC236}">
                  <a16:creationId xmlns:a16="http://schemas.microsoft.com/office/drawing/2014/main" id="{3064BEC0-113D-4CC1-824F-915D457BC75D}"/>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76199" y="1823812"/>
              <a:ext cx="1447649" cy="232954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104775</xdr:colOff>
      <xdr:row>42</xdr:row>
      <xdr:rowOff>130175</xdr:rowOff>
    </xdr:from>
    <xdr:to>
      <xdr:col>17</xdr:col>
      <xdr:colOff>342900</xdr:colOff>
      <xdr:row>51</xdr:row>
      <xdr:rowOff>0</xdr:rowOff>
    </xdr:to>
    <mc:AlternateContent xmlns:mc="http://schemas.openxmlformats.org/markup-compatibility/2006" xmlns:a14="http://schemas.microsoft.com/office/drawing/2010/main">
      <mc:Choice Requires="a14">
        <xdr:graphicFrame macro="">
          <xdr:nvGraphicFramePr>
            <xdr:cNvPr id="29" name="Region">
              <a:extLst>
                <a:ext uri="{FF2B5EF4-FFF2-40B4-BE49-F238E27FC236}">
                  <a16:creationId xmlns:a16="http://schemas.microsoft.com/office/drawing/2014/main" id="{A68C17EC-C52C-45DD-8C44-0BF4F5ACE4F8}"/>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04775" y="7750175"/>
              <a:ext cx="10519077" cy="150268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85725</xdr:colOff>
      <xdr:row>24</xdr:row>
      <xdr:rowOff>57150</xdr:rowOff>
    </xdr:from>
    <xdr:to>
      <xdr:col>2</xdr:col>
      <xdr:colOff>333375</xdr:colOff>
      <xdr:row>41</xdr:row>
      <xdr:rowOff>171450</xdr:rowOff>
    </xdr:to>
    <mc:AlternateContent xmlns:mc="http://schemas.openxmlformats.org/markup-compatibility/2006" xmlns:a14="http://schemas.microsoft.com/office/drawing/2010/main">
      <mc:Choice Requires="a14">
        <xdr:graphicFrame macro="">
          <xdr:nvGraphicFramePr>
            <xdr:cNvPr id="30" name="Sales Person">
              <a:extLst>
                <a:ext uri="{FF2B5EF4-FFF2-40B4-BE49-F238E27FC236}">
                  <a16:creationId xmlns:a16="http://schemas.microsoft.com/office/drawing/2014/main" id="{C09CC7CC-DB90-42E6-AF9B-90204170EAA7}"/>
                </a:ext>
              </a:extLst>
            </xdr:cNvPr>
            <xdr:cNvGraphicFramePr/>
          </xdr:nvGraphicFramePr>
          <xdr:xfrm>
            <a:off x="0" y="0"/>
            <a:ext cx="0" cy="0"/>
          </xdr:xfrm>
          <a:graphic>
            <a:graphicData uri="http://schemas.microsoft.com/office/drawing/2010/slicer">
              <sle:slicer xmlns:sle="http://schemas.microsoft.com/office/drawing/2010/slicer" name="Sales Person"/>
            </a:graphicData>
          </a:graphic>
        </xdr:graphicFrame>
      </mc:Choice>
      <mc:Fallback xmlns="">
        <xdr:sp macro="" textlink="">
          <xdr:nvSpPr>
            <xdr:cNvPr id="0" name=""/>
            <xdr:cNvSpPr>
              <a:spLocks noTextEdit="1"/>
            </xdr:cNvSpPr>
          </xdr:nvSpPr>
          <xdr:spPr>
            <a:xfrm>
              <a:off x="85725" y="4411436"/>
              <a:ext cx="1457174" cy="319858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ishal" refreshedDate="45925.372812499998" createdVersion="8" refreshedVersion="8" minRefreshableVersion="3" recordCount="50" xr:uid="{00DF2470-CAAF-4EF8-92F0-518A703776AB}">
  <cacheSource type="worksheet">
    <worksheetSource name="Table1"/>
  </cacheSource>
  <cacheFields count="9">
    <cacheField name="Date" numFmtId="14">
      <sharedItems containsSemiMixedTypes="0" containsNonDate="0" containsDate="1" containsString="0" minDate="2020-05-07T00:00:00" maxDate="2021-12-22T00:00:00"/>
    </cacheField>
    <cacheField name="Sales Person" numFmtId="0">
      <sharedItems count="10">
        <s v="Andrew"/>
        <s v="Grace"/>
        <s v="Ella"/>
        <s v="Cameron"/>
        <s v="Megan"/>
        <s v="Carolyn"/>
        <s v="Virginia"/>
        <s v="Connor"/>
        <s v="Anna"/>
        <s v="Nicholas"/>
      </sharedItems>
    </cacheField>
    <cacheField name="Region" numFmtId="0">
      <sharedItems count="4">
        <s v="West"/>
        <s v="East"/>
        <s v="South"/>
        <s v="North"/>
      </sharedItems>
    </cacheField>
    <cacheField name="Product" numFmtId="0">
      <sharedItems count="7">
        <s v="Tent"/>
        <s v="Blender"/>
        <s v="Action Figure"/>
        <s v="Novel"/>
        <s v="Sneakers"/>
        <s v="Moisturizer"/>
        <s v="Smartphone"/>
      </sharedItems>
    </cacheField>
    <cacheField name="Units Sold" numFmtId="0">
      <sharedItems containsSemiMixedTypes="0" containsString="0" containsNumber="1" containsInteger="1" minValue="51" maxValue="149"/>
    </cacheField>
    <cacheField name="Unit Price" numFmtId="164">
      <sharedItems containsSemiMixedTypes="0" containsString="0" containsNumber="1" containsInteger="1" minValue="600" maxValue="10000"/>
    </cacheField>
    <cacheField name="Cost of Goods" numFmtId="164">
      <sharedItems containsSemiMixedTypes="0" containsString="0" containsNumber="1" containsInteger="1" minValue="400" maxValue="7000"/>
    </cacheField>
    <cacheField name="Total Sales" numFmtId="164">
      <sharedItems containsSemiMixedTypes="0" containsString="0" containsNumber="1" containsInteger="1" minValue="34200" maxValue="1270000"/>
    </cacheField>
    <cacheField name="PROFIT" numFmtId="164">
      <sharedItems containsSemiMixedTypes="0" containsString="0" containsNumber="1" containsInteger="1" minValue="11400" maxValue="381000"/>
    </cacheField>
  </cacheFields>
  <extLst>
    <ext xmlns:x14="http://schemas.microsoft.com/office/spreadsheetml/2009/9/main" uri="{725AE2AE-9491-48be-B2B4-4EB974FC3084}">
      <x14:pivotCacheDefinition pivotCacheId="113670831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d v="2021-02-19T00:00:00"/>
    <x v="0"/>
    <x v="0"/>
    <x v="0"/>
    <n v="84"/>
    <n v="6000"/>
    <n v="4000"/>
    <n v="504000"/>
    <n v="168000"/>
  </r>
  <r>
    <d v="2021-09-07T00:00:00"/>
    <x v="1"/>
    <x v="1"/>
    <x v="1"/>
    <n v="128"/>
    <n v="3500"/>
    <n v="2500"/>
    <n v="448000"/>
    <n v="128000"/>
  </r>
  <r>
    <d v="2021-02-03T00:00:00"/>
    <x v="2"/>
    <x v="2"/>
    <x v="2"/>
    <n v="136"/>
    <n v="1200"/>
    <n v="800"/>
    <n v="163200"/>
    <n v="54400"/>
  </r>
  <r>
    <d v="2020-09-11T00:00:00"/>
    <x v="3"/>
    <x v="3"/>
    <x v="3"/>
    <n v="91"/>
    <n v="1000"/>
    <n v="700"/>
    <n v="91000"/>
    <n v="27300"/>
  </r>
  <r>
    <d v="2021-09-23T00:00:00"/>
    <x v="4"/>
    <x v="0"/>
    <x v="4"/>
    <n v="110"/>
    <n v="4000"/>
    <n v="3000"/>
    <n v="440000"/>
    <n v="110000"/>
  </r>
  <r>
    <d v="2020-10-01T00:00:00"/>
    <x v="5"/>
    <x v="1"/>
    <x v="2"/>
    <n v="51"/>
    <n v="1200"/>
    <n v="800"/>
    <n v="61200"/>
    <n v="20400"/>
  </r>
  <r>
    <d v="2021-08-05T00:00:00"/>
    <x v="6"/>
    <x v="3"/>
    <x v="3"/>
    <n v="78"/>
    <n v="1000"/>
    <n v="700"/>
    <n v="78000"/>
    <n v="23400"/>
  </r>
  <r>
    <d v="2020-11-06T00:00:00"/>
    <x v="7"/>
    <x v="2"/>
    <x v="0"/>
    <n v="146"/>
    <n v="6000"/>
    <n v="4000"/>
    <n v="876000"/>
    <n v="292000"/>
  </r>
  <r>
    <d v="2021-01-27T00:00:00"/>
    <x v="8"/>
    <x v="0"/>
    <x v="5"/>
    <n v="101"/>
    <n v="600"/>
    <n v="400"/>
    <n v="60600"/>
    <n v="20200"/>
  </r>
  <r>
    <d v="2021-09-03T00:00:00"/>
    <x v="9"/>
    <x v="2"/>
    <x v="0"/>
    <n v="52"/>
    <n v="6000"/>
    <n v="4000"/>
    <n v="312000"/>
    <n v="104000"/>
  </r>
  <r>
    <d v="2021-09-30T00:00:00"/>
    <x v="9"/>
    <x v="1"/>
    <x v="2"/>
    <n v="55"/>
    <n v="1200"/>
    <n v="800"/>
    <n v="66000"/>
    <n v="22000"/>
  </r>
  <r>
    <d v="2020-09-10T00:00:00"/>
    <x v="9"/>
    <x v="2"/>
    <x v="3"/>
    <n v="137"/>
    <n v="1000"/>
    <n v="700"/>
    <n v="137000"/>
    <n v="41100"/>
  </r>
  <r>
    <d v="2021-07-27T00:00:00"/>
    <x v="7"/>
    <x v="2"/>
    <x v="1"/>
    <n v="96"/>
    <n v="3500"/>
    <n v="2500"/>
    <n v="336000"/>
    <n v="96000"/>
  </r>
  <r>
    <d v="2020-10-09T00:00:00"/>
    <x v="8"/>
    <x v="1"/>
    <x v="4"/>
    <n v="52"/>
    <n v="4000"/>
    <n v="3000"/>
    <n v="208000"/>
    <n v="52000"/>
  </r>
  <r>
    <d v="2021-04-06T00:00:00"/>
    <x v="3"/>
    <x v="0"/>
    <x v="1"/>
    <n v="76"/>
    <n v="3500"/>
    <n v="2500"/>
    <n v="266000"/>
    <n v="76000"/>
  </r>
  <r>
    <d v="2021-06-15T00:00:00"/>
    <x v="1"/>
    <x v="3"/>
    <x v="4"/>
    <n v="145"/>
    <n v="4000"/>
    <n v="3000"/>
    <n v="580000"/>
    <n v="145000"/>
  </r>
  <r>
    <d v="2020-09-09T00:00:00"/>
    <x v="0"/>
    <x v="2"/>
    <x v="5"/>
    <n v="83"/>
    <n v="600"/>
    <n v="400"/>
    <n v="49800"/>
    <n v="16600"/>
  </r>
  <r>
    <d v="2021-08-13T00:00:00"/>
    <x v="4"/>
    <x v="2"/>
    <x v="3"/>
    <n v="91"/>
    <n v="1000"/>
    <n v="700"/>
    <n v="91000"/>
    <n v="27300"/>
  </r>
  <r>
    <d v="2020-08-27T00:00:00"/>
    <x v="5"/>
    <x v="0"/>
    <x v="6"/>
    <n v="108"/>
    <n v="10000"/>
    <n v="7000"/>
    <n v="1080000"/>
    <n v="324000"/>
  </r>
  <r>
    <d v="2021-04-07T00:00:00"/>
    <x v="2"/>
    <x v="3"/>
    <x v="4"/>
    <n v="144"/>
    <n v="4000"/>
    <n v="3000"/>
    <n v="576000"/>
    <n v="144000"/>
  </r>
  <r>
    <d v="2020-06-08T00:00:00"/>
    <x v="4"/>
    <x v="2"/>
    <x v="5"/>
    <n v="92"/>
    <n v="600"/>
    <n v="400"/>
    <n v="55200"/>
    <n v="18400"/>
  </r>
  <r>
    <d v="2021-12-21T00:00:00"/>
    <x v="7"/>
    <x v="0"/>
    <x v="0"/>
    <n v="71"/>
    <n v="6000"/>
    <n v="4000"/>
    <n v="426000"/>
    <n v="142000"/>
  </r>
  <r>
    <d v="2021-08-10T00:00:00"/>
    <x v="0"/>
    <x v="1"/>
    <x v="5"/>
    <n v="103"/>
    <n v="600"/>
    <n v="400"/>
    <n v="61800"/>
    <n v="20600"/>
  </r>
  <r>
    <d v="2021-12-02T00:00:00"/>
    <x v="9"/>
    <x v="3"/>
    <x v="3"/>
    <n v="55"/>
    <n v="1000"/>
    <n v="700"/>
    <n v="55000"/>
    <n v="16500"/>
  </r>
  <r>
    <d v="2021-08-30T00:00:00"/>
    <x v="5"/>
    <x v="1"/>
    <x v="4"/>
    <n v="93"/>
    <n v="4000"/>
    <n v="3000"/>
    <n v="372000"/>
    <n v="93000"/>
  </r>
  <r>
    <d v="2020-05-20T00:00:00"/>
    <x v="2"/>
    <x v="2"/>
    <x v="5"/>
    <n v="143"/>
    <n v="600"/>
    <n v="400"/>
    <n v="85800"/>
    <n v="28600"/>
  </r>
  <r>
    <d v="2021-09-13T00:00:00"/>
    <x v="6"/>
    <x v="0"/>
    <x v="1"/>
    <n v="143"/>
    <n v="3500"/>
    <n v="2500"/>
    <n v="500500"/>
    <n v="143000"/>
  </r>
  <r>
    <d v="2021-10-27T00:00:00"/>
    <x v="8"/>
    <x v="3"/>
    <x v="5"/>
    <n v="99"/>
    <n v="600"/>
    <n v="400"/>
    <n v="59400"/>
    <n v="19800"/>
  </r>
  <r>
    <d v="2020-12-22T00:00:00"/>
    <x v="3"/>
    <x v="0"/>
    <x v="3"/>
    <n v="120"/>
    <n v="1000"/>
    <n v="700"/>
    <n v="120000"/>
    <n v="36000"/>
  </r>
  <r>
    <d v="2021-07-28T00:00:00"/>
    <x v="1"/>
    <x v="2"/>
    <x v="1"/>
    <n v="66"/>
    <n v="3500"/>
    <n v="2500"/>
    <n v="231000"/>
    <n v="66000"/>
  </r>
  <r>
    <d v="2020-09-29T00:00:00"/>
    <x v="8"/>
    <x v="3"/>
    <x v="2"/>
    <n v="88"/>
    <n v="1200"/>
    <n v="800"/>
    <n v="105600"/>
    <n v="35200"/>
  </r>
  <r>
    <d v="2020-10-22T00:00:00"/>
    <x v="3"/>
    <x v="1"/>
    <x v="6"/>
    <n v="127"/>
    <n v="10000"/>
    <n v="7000"/>
    <n v="1270000"/>
    <n v="381000"/>
  </r>
  <r>
    <d v="2020-05-19T00:00:00"/>
    <x v="4"/>
    <x v="0"/>
    <x v="4"/>
    <n v="67"/>
    <n v="4000"/>
    <n v="3000"/>
    <n v="268000"/>
    <n v="67000"/>
  </r>
  <r>
    <d v="2021-12-06T00:00:00"/>
    <x v="1"/>
    <x v="1"/>
    <x v="2"/>
    <n v="67"/>
    <n v="1200"/>
    <n v="800"/>
    <n v="80400"/>
    <n v="26800"/>
  </r>
  <r>
    <d v="2020-08-26T00:00:00"/>
    <x v="9"/>
    <x v="2"/>
    <x v="3"/>
    <n v="149"/>
    <n v="1000"/>
    <n v="700"/>
    <n v="149000"/>
    <n v="44700"/>
  </r>
  <r>
    <d v="2021-07-01T00:00:00"/>
    <x v="4"/>
    <x v="3"/>
    <x v="5"/>
    <n v="104"/>
    <n v="600"/>
    <n v="400"/>
    <n v="62400"/>
    <n v="20800"/>
  </r>
  <r>
    <d v="2021-07-27T00:00:00"/>
    <x v="7"/>
    <x v="0"/>
    <x v="5"/>
    <n v="57"/>
    <n v="600"/>
    <n v="400"/>
    <n v="34200"/>
    <n v="11400"/>
  </r>
  <r>
    <d v="2020-10-05T00:00:00"/>
    <x v="2"/>
    <x v="1"/>
    <x v="5"/>
    <n v="90"/>
    <n v="600"/>
    <n v="400"/>
    <n v="54000"/>
    <n v="18000"/>
  </r>
  <r>
    <d v="2020-09-02T00:00:00"/>
    <x v="5"/>
    <x v="2"/>
    <x v="5"/>
    <n v="67"/>
    <n v="600"/>
    <n v="400"/>
    <n v="40200"/>
    <n v="13400"/>
  </r>
  <r>
    <d v="2021-09-02T00:00:00"/>
    <x v="0"/>
    <x v="3"/>
    <x v="4"/>
    <n v="127"/>
    <n v="4000"/>
    <n v="3000"/>
    <n v="508000"/>
    <n v="127000"/>
  </r>
  <r>
    <d v="2021-04-13T00:00:00"/>
    <x v="5"/>
    <x v="0"/>
    <x v="3"/>
    <n v="108"/>
    <n v="1000"/>
    <n v="700"/>
    <n v="108000"/>
    <n v="32400"/>
  </r>
  <r>
    <d v="2021-05-06T00:00:00"/>
    <x v="2"/>
    <x v="1"/>
    <x v="1"/>
    <n v="66"/>
    <n v="3500"/>
    <n v="2500"/>
    <n v="231000"/>
    <n v="66000"/>
  </r>
  <r>
    <d v="2021-01-15T00:00:00"/>
    <x v="0"/>
    <x v="3"/>
    <x v="0"/>
    <n v="78"/>
    <n v="6000"/>
    <n v="4000"/>
    <n v="468000"/>
    <n v="156000"/>
  </r>
  <r>
    <d v="2020-08-27T00:00:00"/>
    <x v="7"/>
    <x v="2"/>
    <x v="3"/>
    <n v="69"/>
    <n v="1000"/>
    <n v="700"/>
    <n v="69000"/>
    <n v="20700"/>
  </r>
  <r>
    <d v="2021-02-05T00:00:00"/>
    <x v="4"/>
    <x v="0"/>
    <x v="2"/>
    <n v="59"/>
    <n v="1200"/>
    <n v="800"/>
    <n v="70800"/>
    <n v="23600"/>
  </r>
  <r>
    <d v="2021-11-17T00:00:00"/>
    <x v="9"/>
    <x v="2"/>
    <x v="5"/>
    <n v="109"/>
    <n v="600"/>
    <n v="400"/>
    <n v="65400"/>
    <n v="21800"/>
  </r>
  <r>
    <d v="2020-12-28T00:00:00"/>
    <x v="8"/>
    <x v="1"/>
    <x v="4"/>
    <n v="61"/>
    <n v="4000"/>
    <n v="3000"/>
    <n v="244000"/>
    <n v="61000"/>
  </r>
  <r>
    <d v="2021-10-27T00:00:00"/>
    <x v="4"/>
    <x v="3"/>
    <x v="5"/>
    <n v="130"/>
    <n v="600"/>
    <n v="400"/>
    <n v="78000"/>
    <n v="26000"/>
  </r>
  <r>
    <d v="2021-11-02T00:00:00"/>
    <x v="3"/>
    <x v="2"/>
    <x v="1"/>
    <n v="60"/>
    <n v="3500"/>
    <n v="2500"/>
    <n v="210000"/>
    <n v="60000"/>
  </r>
  <r>
    <d v="2020-05-07T00:00:00"/>
    <x v="1"/>
    <x v="1"/>
    <x v="0"/>
    <n v="73"/>
    <n v="6000"/>
    <n v="4000"/>
    <n v="438000"/>
    <n v="146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5CF9ECC-D5FA-4A4B-81E4-FD0EA644EF08}"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K3:L11" firstHeaderRow="1" firstDataRow="1" firstDataCol="1"/>
  <pivotFields count="9">
    <pivotField numFmtId="14" showAll="0"/>
    <pivotField showAll="0">
      <items count="11">
        <item x="0"/>
        <item x="8"/>
        <item x="3"/>
        <item x="5"/>
        <item x="7"/>
        <item x="2"/>
        <item x="1"/>
        <item x="4"/>
        <item x="9"/>
        <item x="6"/>
        <item t="default"/>
      </items>
    </pivotField>
    <pivotField showAll="0">
      <items count="5">
        <item x="1"/>
        <item x="3"/>
        <item x="2"/>
        <item x="0"/>
        <item t="default"/>
      </items>
    </pivotField>
    <pivotField axis="axisRow" showAll="0">
      <items count="8">
        <item x="2"/>
        <item x="1"/>
        <item x="5"/>
        <item x="3"/>
        <item x="6"/>
        <item x="4"/>
        <item x="0"/>
        <item t="default"/>
      </items>
    </pivotField>
    <pivotField dataField="1" showAll="0"/>
    <pivotField numFmtId="164" showAll="0"/>
    <pivotField numFmtId="164" showAll="0"/>
    <pivotField numFmtId="164" showAll="0"/>
    <pivotField numFmtId="164" showAll="0"/>
  </pivotFields>
  <rowFields count="1">
    <field x="3"/>
  </rowFields>
  <rowItems count="8">
    <i>
      <x/>
    </i>
    <i>
      <x v="1"/>
    </i>
    <i>
      <x v="2"/>
    </i>
    <i>
      <x v="3"/>
    </i>
    <i>
      <x v="4"/>
    </i>
    <i>
      <x v="5"/>
    </i>
    <i>
      <x v="6"/>
    </i>
    <i t="grand">
      <x/>
    </i>
  </rowItems>
  <colItems count="1">
    <i/>
  </colItems>
  <dataFields count="1">
    <dataField name="Sum of Units Sold" fld="4" baseField="0" baseItem="0"/>
  </dataFields>
  <chartFormats count="2">
    <chartFormat chart="4"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052B9B-1A7C-491C-816A-CEDB6F852165}"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G3:H14" firstHeaderRow="1" firstDataRow="1" firstDataCol="1"/>
  <pivotFields count="9">
    <pivotField numFmtId="14" showAll="0"/>
    <pivotField axis="axisRow" showAll="0">
      <items count="11">
        <item x="0"/>
        <item x="8"/>
        <item x="3"/>
        <item x="5"/>
        <item x="7"/>
        <item x="2"/>
        <item x="1"/>
        <item x="4"/>
        <item x="9"/>
        <item x="6"/>
        <item t="default"/>
      </items>
    </pivotField>
    <pivotField showAll="0">
      <items count="5">
        <item x="1"/>
        <item x="3"/>
        <item x="2"/>
        <item x="0"/>
        <item t="default"/>
      </items>
    </pivotField>
    <pivotField showAll="0">
      <items count="8">
        <item x="2"/>
        <item x="1"/>
        <item x="5"/>
        <item x="3"/>
        <item x="6"/>
        <item x="4"/>
        <item x="0"/>
        <item t="default"/>
      </items>
    </pivotField>
    <pivotField showAll="0"/>
    <pivotField numFmtId="164" showAll="0"/>
    <pivotField numFmtId="164" showAll="0"/>
    <pivotField dataField="1" numFmtId="164" showAll="0"/>
    <pivotField numFmtId="164" showAll="0"/>
  </pivotFields>
  <rowFields count="1">
    <field x="1"/>
  </rowFields>
  <rowItems count="11">
    <i>
      <x/>
    </i>
    <i>
      <x v="1"/>
    </i>
    <i>
      <x v="2"/>
    </i>
    <i>
      <x v="3"/>
    </i>
    <i>
      <x v="4"/>
    </i>
    <i>
      <x v="5"/>
    </i>
    <i>
      <x v="6"/>
    </i>
    <i>
      <x v="7"/>
    </i>
    <i>
      <x v="8"/>
    </i>
    <i>
      <x v="9"/>
    </i>
    <i t="grand">
      <x/>
    </i>
  </rowItems>
  <colItems count="1">
    <i/>
  </colItems>
  <dataFields count="1">
    <dataField name="Sum of Total Sales" fld="7" baseField="1" baseItem="6" numFmtId="166"/>
  </dataFields>
  <chartFormats count="2">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D832598-201C-46A1-8C80-2A8E2A228411}"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D3:E11" firstHeaderRow="1" firstDataRow="1" firstDataCol="1"/>
  <pivotFields count="9">
    <pivotField numFmtId="14" showAll="0"/>
    <pivotField showAll="0">
      <items count="11">
        <item x="0"/>
        <item x="8"/>
        <item x="3"/>
        <item x="5"/>
        <item x="7"/>
        <item x="2"/>
        <item x="1"/>
        <item x="4"/>
        <item x="9"/>
        <item x="6"/>
        <item t="default"/>
      </items>
    </pivotField>
    <pivotField showAll="0">
      <items count="5">
        <item x="1"/>
        <item x="3"/>
        <item x="2"/>
        <item x="0"/>
        <item t="default"/>
      </items>
    </pivotField>
    <pivotField axis="axisRow" showAll="0">
      <items count="8">
        <item x="2"/>
        <item x="1"/>
        <item x="5"/>
        <item x="3"/>
        <item x="6"/>
        <item x="4"/>
        <item x="0"/>
        <item t="default"/>
      </items>
    </pivotField>
    <pivotField showAll="0"/>
    <pivotField numFmtId="164" showAll="0"/>
    <pivotField numFmtId="164" showAll="0"/>
    <pivotField dataField="1" numFmtId="164" showAll="0"/>
    <pivotField numFmtId="164" showAll="0"/>
  </pivotFields>
  <rowFields count="1">
    <field x="3"/>
  </rowFields>
  <rowItems count="8">
    <i>
      <x/>
    </i>
    <i>
      <x v="1"/>
    </i>
    <i>
      <x v="2"/>
    </i>
    <i>
      <x v="3"/>
    </i>
    <i>
      <x v="4"/>
    </i>
    <i>
      <x v="5"/>
    </i>
    <i>
      <x v="6"/>
    </i>
    <i t="grand">
      <x/>
    </i>
  </rowItems>
  <colItems count="1">
    <i/>
  </colItems>
  <dataFields count="1">
    <dataField name="Sum of Total Sales" fld="7" baseField="3" baseItem="5" numFmtId="166"/>
  </dataFields>
  <chartFormats count="2">
    <chartFormat chart="2"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205DE13-97EA-4EF1-86F4-C3210D722AC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8" firstHeaderRow="1" firstDataRow="1" firstDataCol="1"/>
  <pivotFields count="9">
    <pivotField numFmtId="14" showAll="0"/>
    <pivotField showAll="0">
      <items count="11">
        <item x="0"/>
        <item x="8"/>
        <item x="3"/>
        <item x="5"/>
        <item x="7"/>
        <item x="2"/>
        <item x="1"/>
        <item x="4"/>
        <item x="9"/>
        <item x="6"/>
        <item t="default"/>
      </items>
    </pivotField>
    <pivotField axis="axisRow" showAll="0" sortType="descending">
      <items count="5">
        <item x="0"/>
        <item x="2"/>
        <item x="3"/>
        <item x="1"/>
        <item t="default"/>
      </items>
    </pivotField>
    <pivotField showAll="0">
      <items count="8">
        <item x="2"/>
        <item x="1"/>
        <item x="5"/>
        <item x="3"/>
        <item x="6"/>
        <item x="4"/>
        <item x="0"/>
        <item t="default"/>
      </items>
    </pivotField>
    <pivotField showAll="0"/>
    <pivotField numFmtId="164" showAll="0"/>
    <pivotField numFmtId="164" showAll="0"/>
    <pivotField dataField="1" numFmtId="164" showAll="0"/>
    <pivotField numFmtId="164" showAll="0"/>
  </pivotFields>
  <rowFields count="1">
    <field x="2"/>
  </rowFields>
  <rowItems count="5">
    <i>
      <x/>
    </i>
    <i>
      <x v="1"/>
    </i>
    <i>
      <x v="2"/>
    </i>
    <i>
      <x v="3"/>
    </i>
    <i t="grand">
      <x/>
    </i>
  </rowItems>
  <colItems count="1">
    <i/>
  </colItems>
  <dataFields count="1">
    <dataField name="Sum of Total Sales" fld="7" baseField="2" baseItem="3" numFmtId="165"/>
  </dataFields>
  <chartFormats count="10">
    <chartFormat chart="5" format="0" series="1">
      <pivotArea type="data" outline="0" fieldPosition="0">
        <references count="1">
          <reference field="4294967294" count="1" selected="0">
            <x v="0"/>
          </reference>
        </references>
      </pivotArea>
    </chartFormat>
    <chartFormat chart="5" format="1">
      <pivotArea type="data" outline="0" fieldPosition="0">
        <references count="2">
          <reference field="4294967294" count="1" selected="0">
            <x v="0"/>
          </reference>
          <reference field="2" count="1" selected="0">
            <x v="0"/>
          </reference>
        </references>
      </pivotArea>
    </chartFormat>
    <chartFormat chart="5" format="2">
      <pivotArea type="data" outline="0" fieldPosition="0">
        <references count="2">
          <reference field="4294967294" count="1" selected="0">
            <x v="0"/>
          </reference>
          <reference field="2" count="1" selected="0">
            <x v="3"/>
          </reference>
        </references>
      </pivotArea>
    </chartFormat>
    <chartFormat chart="5" format="3">
      <pivotArea type="data" outline="0" fieldPosition="0">
        <references count="2">
          <reference field="4294967294" count="1" selected="0">
            <x v="0"/>
          </reference>
          <reference field="2" count="1" selected="0">
            <x v="2"/>
          </reference>
        </references>
      </pivotArea>
    </chartFormat>
    <chartFormat chart="5" format="4">
      <pivotArea type="data" outline="0" fieldPosition="0">
        <references count="2">
          <reference field="4294967294" count="1" selected="0">
            <x v="0"/>
          </reference>
          <reference field="2" count="1" selected="0">
            <x v="1"/>
          </reference>
        </references>
      </pivotArea>
    </chartFormat>
    <chartFormat chart="7" format="10" series="1">
      <pivotArea type="data" outline="0" fieldPosition="0">
        <references count="1">
          <reference field="4294967294" count="1" selected="0">
            <x v="0"/>
          </reference>
        </references>
      </pivotArea>
    </chartFormat>
    <chartFormat chart="7" format="11">
      <pivotArea type="data" outline="0" fieldPosition="0">
        <references count="2">
          <reference field="4294967294" count="1" selected="0">
            <x v="0"/>
          </reference>
          <reference field="2" count="1" selected="0">
            <x v="0"/>
          </reference>
        </references>
      </pivotArea>
    </chartFormat>
    <chartFormat chart="7" format="12">
      <pivotArea type="data" outline="0" fieldPosition="0">
        <references count="2">
          <reference field="4294967294" count="1" selected="0">
            <x v="0"/>
          </reference>
          <reference field="2" count="1" selected="0">
            <x v="1"/>
          </reference>
        </references>
      </pivotArea>
    </chartFormat>
    <chartFormat chart="7" format="13">
      <pivotArea type="data" outline="0" fieldPosition="0">
        <references count="2">
          <reference field="4294967294" count="1" selected="0">
            <x v="0"/>
          </reference>
          <reference field="2" count="1" selected="0">
            <x v="2"/>
          </reference>
        </references>
      </pivotArea>
    </chartFormat>
    <chartFormat chart="7" format="14">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D652F3F8-53A9-421E-B50F-D0AA18ACE1BC}" sourceName="Product">
  <pivotTables>
    <pivotTable tabId="5" name="PivotTable1"/>
    <pivotTable tabId="5" name="PivotTable3"/>
    <pivotTable tabId="5" name="PivotTable4"/>
    <pivotTable tabId="5" name="PivotTable5"/>
  </pivotTables>
  <data>
    <tabular pivotCacheId="1136708315">
      <items count="7">
        <i x="2" s="1"/>
        <i x="1" s="1"/>
        <i x="5" s="1"/>
        <i x="3" s="1"/>
        <i x="6" s="1"/>
        <i x="4"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4FD4A427-2AC7-4CB9-9A28-385FAA9FEECA}" sourceName="Region">
  <pivotTables>
    <pivotTable tabId="5" name="PivotTable1"/>
    <pivotTable tabId="5" name="PivotTable3"/>
    <pivotTable tabId="5" name="PivotTable4"/>
    <pivotTable tabId="5" name="PivotTable5"/>
  </pivotTables>
  <data>
    <tabular pivotCacheId="1136708315">
      <items count="4">
        <i x="1" s="1"/>
        <i x="3" s="1"/>
        <i x="2"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Person" xr10:uid="{A93DD1EF-B7AB-4CD0-A095-D8E6108C2078}" sourceName="Sales Person">
  <pivotTables>
    <pivotTable tabId="5" name="PivotTable1"/>
    <pivotTable tabId="5" name="PivotTable3"/>
    <pivotTable tabId="5" name="PivotTable4"/>
    <pivotTable tabId="5" name="PivotTable5"/>
  </pivotTables>
  <data>
    <tabular pivotCacheId="1136708315">
      <items count="10">
        <i x="0" s="1"/>
        <i x="8" s="1"/>
        <i x="3" s="1"/>
        <i x="5" s="1"/>
        <i x="7" s="1"/>
        <i x="2" s="1"/>
        <i x="1" s="1"/>
        <i x="4" s="1"/>
        <i x="9" s="1"/>
        <i x="6"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xr10:uid="{036DBA94-169C-4CD8-A375-D63266D06644}" cache="Slicer_Product" caption="Product" rowHeight="247650"/>
  <slicer name="Region" xr10:uid="{256243C8-9D19-4B83-8077-0B78BD5106B7}" cache="Slicer_Region" caption="Region" rowHeight="247650"/>
  <slicer name="Sales Person" xr10:uid="{43188483-8946-4058-B899-4D32BA76F413}" cache="Slicer_Sales_Person" caption="Sales Person"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437ED01-D43D-4073-A2C2-76A6A05186D8}" name="Table1" displayName="Table1" ref="A1:I51" totalsRowShown="0" headerRowDxfId="8" dataDxfId="6" headerRowBorderDxfId="7" dataCellStyle="Currency [0]">
  <autoFilter ref="A1:I51" xr:uid="{5437ED01-D43D-4073-A2C2-76A6A05186D8}"/>
  <tableColumns count="9">
    <tableColumn id="1" xr3:uid="{F3F82CD1-578C-4BF4-AC06-2417D62A0F35}" name="Date" dataDxfId="5"/>
    <tableColumn id="2" xr3:uid="{301B027B-94FE-416E-A721-B240D70E513F}" name="Sales Person"/>
    <tableColumn id="3" xr3:uid="{A132D229-DE1F-45A1-96C3-126B09C426A4}" name="Region"/>
    <tableColumn id="4" xr3:uid="{E4DB1154-927E-4F6E-9DD9-1C35A37567C1}" name="Product"/>
    <tableColumn id="5" xr3:uid="{8E2B81D4-4C94-4137-A085-41622575F760}" name="Units Sold" dataDxfId="4"/>
    <tableColumn id="6" xr3:uid="{5EF8655C-BCBA-476B-B6A1-F7222BC59E36}" name="Unit Price" dataDxfId="3" dataCellStyle="Currency [0]">
      <calculatedColumnFormula>IF(D2="Tent",6000,IF(D2="Blender",3500,IF(D2="Action Figure",1200,IF(D2="Novel",1000,IF(D2="Sneakers",4000,IF(D2="Smartphone",10000,IF(D2="moisturizer",600,"No Product Found")))))))</calculatedColumnFormula>
    </tableColumn>
    <tableColumn id="7" xr3:uid="{254516B4-3400-43FD-B1DE-D4B30A36105C}" name="Cost of Goods" dataDxfId="2" dataCellStyle="Currency [0]">
      <calculatedColumnFormula>IF(D2="Tent",4000,IF(D2="Blender",2500,IF(D2="Action Figure",800,IF(D2="Novel",700,IF(D2="Sneakers",3000,IF(D2="Smartphone",7000,IF(D2="moisturizer",400,"No Product Found")))))))</calculatedColumnFormula>
    </tableColumn>
    <tableColumn id="8" xr3:uid="{EF5D3ED5-20AA-46CF-A736-7A88E4D4C96C}" name="Total Sales" dataDxfId="1" dataCellStyle="Currency [0]">
      <calculatedColumnFormula>F2*E2</calculatedColumnFormula>
    </tableColumn>
    <tableColumn id="9" xr3:uid="{9BB29641-F736-479C-98B5-450308CC890A}" name="PROFIT" dataDxfId="0">
      <calculatedColumnFormula>H2-E2*G2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Green">
      <a:dk1>
        <a:sysClr val="windowText" lastClr="000000"/>
      </a:dk1>
      <a:lt1>
        <a:sysClr val="window" lastClr="FFFFFF"/>
      </a:lt1>
      <a:dk2>
        <a:srgbClr val="455F51"/>
      </a:dk2>
      <a:lt2>
        <a:srgbClr val="E3DED1"/>
      </a:lt2>
      <a:accent1>
        <a:srgbClr val="549E39"/>
      </a:accent1>
      <a:accent2>
        <a:srgbClr val="8AB833"/>
      </a:accent2>
      <a:accent3>
        <a:srgbClr val="C0CF3A"/>
      </a:accent3>
      <a:accent4>
        <a:srgbClr val="029676"/>
      </a:accent4>
      <a:accent5>
        <a:srgbClr val="4AB5C4"/>
      </a:accent5>
      <a:accent6>
        <a:srgbClr val="0989B1"/>
      </a:accent6>
      <a:hlink>
        <a:srgbClr val="6B9F25"/>
      </a:hlink>
      <a:folHlink>
        <a:srgbClr val="BA6906"/>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ACB3DF-9E1D-4E87-B39C-21F41FB7A8AD}">
  <dimension ref="A1:K1048576"/>
  <sheetViews>
    <sheetView tabSelected="1" zoomScale="88" zoomScaleNormal="88" workbookViewId="0">
      <selection activeCell="N22" sqref="N22"/>
    </sheetView>
  </sheetViews>
  <sheetFormatPr defaultRowHeight="14.4" x14ac:dyDescent="0.3"/>
  <cols>
    <col min="1" max="1" width="12.88671875" customWidth="1"/>
    <col min="2" max="2" width="13.5546875" customWidth="1"/>
    <col min="4" max="4" width="15.6640625" customWidth="1"/>
    <col min="5" max="5" width="11.21875" customWidth="1"/>
    <col min="6" max="6" width="11" customWidth="1"/>
    <col min="7" max="7" width="14.21875" customWidth="1"/>
    <col min="8" max="9" width="13.5546875" customWidth="1"/>
    <col min="10" max="10" width="12.21875" bestFit="1" customWidth="1"/>
    <col min="11" max="11" width="15.109375" bestFit="1" customWidth="1"/>
  </cols>
  <sheetData>
    <row r="1" spans="1:11" ht="20.100000000000001" customHeight="1" thickBot="1" x14ac:dyDescent="0.35">
      <c r="A1" s="1" t="s">
        <v>0</v>
      </c>
      <c r="B1" s="1" t="s">
        <v>1</v>
      </c>
      <c r="C1" s="1" t="s">
        <v>2</v>
      </c>
      <c r="D1" s="1" t="s">
        <v>3</v>
      </c>
      <c r="E1" s="1" t="s">
        <v>4</v>
      </c>
      <c r="F1" s="1" t="s">
        <v>5</v>
      </c>
      <c r="G1" s="1" t="s">
        <v>6</v>
      </c>
      <c r="H1" s="1" t="s">
        <v>7</v>
      </c>
      <c r="I1" s="1" t="s">
        <v>29</v>
      </c>
      <c r="K1" s="5" t="s">
        <v>30</v>
      </c>
    </row>
    <row r="2" spans="1:11" ht="15" thickTop="1" x14ac:dyDescent="0.3">
      <c r="A2" s="2">
        <v>44246</v>
      </c>
      <c r="B2" t="s">
        <v>8</v>
      </c>
      <c r="C2" t="s">
        <v>9</v>
      </c>
      <c r="D2" t="s">
        <v>10</v>
      </c>
      <c r="E2" s="3">
        <v>84</v>
      </c>
      <c r="F2" s="4">
        <f>IF(D2="Tent",6000,IF(D2="Blender",3500,IF(D2="Action Figure",1200,IF(D2="Novel",1000,IF(D2="Sneakers",4000,IF(D2="Smartphone",10000,IF(D2="moisturizer",600,"No Product Found")))))))</f>
        <v>6000</v>
      </c>
      <c r="G2" s="4">
        <f>IF(D2="Tent",4000,IF(D2="Blender",2500,IF(D2="Action Figure",800,IF(D2="Novel",700,IF(D2="Sneakers",3000,IF(D2="Smartphone",7000,IF(D2="moisturizer",400,"No Product Found")))))))</f>
        <v>4000</v>
      </c>
      <c r="H2" s="4">
        <f>F2*E2</f>
        <v>504000</v>
      </c>
      <c r="I2" s="6">
        <f>H2-E2*G2</f>
        <v>168000</v>
      </c>
      <c r="K2" s="6">
        <f>SUM(H2:H51)</f>
        <v>12944500</v>
      </c>
    </row>
    <row r="3" spans="1:11" x14ac:dyDescent="0.3">
      <c r="A3" s="2">
        <v>44446</v>
      </c>
      <c r="B3" t="s">
        <v>11</v>
      </c>
      <c r="C3" t="s">
        <v>12</v>
      </c>
      <c r="D3" t="s">
        <v>13</v>
      </c>
      <c r="E3" s="3">
        <v>128</v>
      </c>
      <c r="F3" s="4">
        <f t="shared" ref="F3:F51" si="0">IF(D3="Tent",6000,IF(D3="Blender",3500,IF(D3="Action Figure",1200,IF(D3="Novel",1000,IF(D3="Sneakers",4000,IF(D3="Smartphone",10000,IF(D3="moisturizer",600,"No Product Found")))))))</f>
        <v>3500</v>
      </c>
      <c r="G3" s="4">
        <f t="shared" ref="G3:G51" si="1">IF(D3="Tent",4000,IF(D3="Blender",2500,IF(D3="Action Figure",800,IF(D3="Novel",700,IF(D3="Sneakers",3000,IF(D3="Smartphone",7000,IF(D3="moisturizer",400,"No Product Found")))))))</f>
        <v>2500</v>
      </c>
      <c r="H3" s="4">
        <f t="shared" ref="H3:H51" si="2">F3*E3</f>
        <v>448000</v>
      </c>
      <c r="I3" s="6">
        <f t="shared" ref="I3:I51" si="3">H3-E3*G3</f>
        <v>128000</v>
      </c>
    </row>
    <row r="4" spans="1:11" ht="15" thickBot="1" x14ac:dyDescent="0.35">
      <c r="A4" s="2">
        <v>44230</v>
      </c>
      <c r="B4" t="s">
        <v>14</v>
      </c>
      <c r="C4" t="s">
        <v>15</v>
      </c>
      <c r="D4" t="s">
        <v>16</v>
      </c>
      <c r="E4" s="3">
        <v>136</v>
      </c>
      <c r="F4" s="4">
        <f t="shared" si="0"/>
        <v>1200</v>
      </c>
      <c r="G4" s="4">
        <f t="shared" si="1"/>
        <v>800</v>
      </c>
      <c r="H4" s="4">
        <f t="shared" si="2"/>
        <v>163200</v>
      </c>
      <c r="I4" s="6">
        <f t="shared" si="3"/>
        <v>54400</v>
      </c>
      <c r="K4" s="1" t="s">
        <v>31</v>
      </c>
    </row>
    <row r="5" spans="1:11" ht="15" thickTop="1" x14ac:dyDescent="0.3">
      <c r="A5" s="2">
        <v>44085</v>
      </c>
      <c r="B5" t="s">
        <v>17</v>
      </c>
      <c r="C5" t="s">
        <v>18</v>
      </c>
      <c r="D5" t="s">
        <v>19</v>
      </c>
      <c r="E5" s="3">
        <v>91</v>
      </c>
      <c r="F5" s="4">
        <f t="shared" si="0"/>
        <v>1000</v>
      </c>
      <c r="G5" s="4">
        <f t="shared" si="1"/>
        <v>700</v>
      </c>
      <c r="H5" s="4">
        <f t="shared" si="2"/>
        <v>91000</v>
      </c>
      <c r="I5" s="6">
        <f t="shared" si="3"/>
        <v>27300</v>
      </c>
      <c r="K5">
        <f>SUM(E:E)</f>
        <v>4705</v>
      </c>
    </row>
    <row r="6" spans="1:11" x14ac:dyDescent="0.3">
      <c r="A6" s="2">
        <v>44462</v>
      </c>
      <c r="B6" t="s">
        <v>20</v>
      </c>
      <c r="C6" t="s">
        <v>9</v>
      </c>
      <c r="D6" t="s">
        <v>21</v>
      </c>
      <c r="E6" s="3">
        <v>110</v>
      </c>
      <c r="F6" s="4">
        <f t="shared" si="0"/>
        <v>4000</v>
      </c>
      <c r="G6" s="4">
        <f t="shared" si="1"/>
        <v>3000</v>
      </c>
      <c r="H6" s="4">
        <f t="shared" si="2"/>
        <v>440000</v>
      </c>
      <c r="I6" s="6">
        <f t="shared" si="3"/>
        <v>110000</v>
      </c>
    </row>
    <row r="7" spans="1:11" ht="15" thickBot="1" x14ac:dyDescent="0.35">
      <c r="A7" s="2">
        <v>44105</v>
      </c>
      <c r="B7" t="s">
        <v>22</v>
      </c>
      <c r="C7" t="s">
        <v>12</v>
      </c>
      <c r="D7" t="s">
        <v>16</v>
      </c>
      <c r="E7" s="3">
        <v>51</v>
      </c>
      <c r="F7" s="4">
        <f t="shared" si="0"/>
        <v>1200</v>
      </c>
      <c r="G7" s="4">
        <f t="shared" si="1"/>
        <v>800</v>
      </c>
      <c r="H7" s="4">
        <f t="shared" si="2"/>
        <v>61200</v>
      </c>
      <c r="I7" s="6">
        <f t="shared" si="3"/>
        <v>20400</v>
      </c>
      <c r="K7" s="1" t="s">
        <v>32</v>
      </c>
    </row>
    <row r="8" spans="1:11" ht="15" thickTop="1" x14ac:dyDescent="0.3">
      <c r="A8" s="2">
        <v>44413</v>
      </c>
      <c r="B8" t="s">
        <v>23</v>
      </c>
      <c r="C8" t="s">
        <v>18</v>
      </c>
      <c r="D8" t="s">
        <v>19</v>
      </c>
      <c r="E8" s="3">
        <v>78</v>
      </c>
      <c r="F8" s="4">
        <f t="shared" si="0"/>
        <v>1000</v>
      </c>
      <c r="G8" s="4">
        <f t="shared" si="1"/>
        <v>700</v>
      </c>
      <c r="H8" s="4">
        <f t="shared" si="2"/>
        <v>78000</v>
      </c>
      <c r="I8" s="6">
        <f t="shared" si="3"/>
        <v>23400</v>
      </c>
      <c r="K8" s="6">
        <f>SUM(I2:I51)</f>
        <v>3834400</v>
      </c>
    </row>
    <row r="9" spans="1:11" x14ac:dyDescent="0.3">
      <c r="A9" s="2">
        <v>44141</v>
      </c>
      <c r="B9" t="s">
        <v>24</v>
      </c>
      <c r="C9" t="s">
        <v>15</v>
      </c>
      <c r="D9" t="s">
        <v>10</v>
      </c>
      <c r="E9" s="3">
        <v>146</v>
      </c>
      <c r="F9" s="4">
        <f t="shared" si="0"/>
        <v>6000</v>
      </c>
      <c r="G9" s="4">
        <f t="shared" si="1"/>
        <v>4000</v>
      </c>
      <c r="H9" s="4">
        <f t="shared" si="2"/>
        <v>876000</v>
      </c>
      <c r="I9" s="6">
        <f t="shared" si="3"/>
        <v>292000</v>
      </c>
    </row>
    <row r="10" spans="1:11" ht="15" thickBot="1" x14ac:dyDescent="0.35">
      <c r="A10" s="2">
        <v>44223</v>
      </c>
      <c r="B10" t="s">
        <v>25</v>
      </c>
      <c r="C10" t="s">
        <v>9</v>
      </c>
      <c r="D10" t="s">
        <v>26</v>
      </c>
      <c r="E10" s="3">
        <v>101</v>
      </c>
      <c r="F10" s="4">
        <f t="shared" si="0"/>
        <v>600</v>
      </c>
      <c r="G10" s="4">
        <f t="shared" si="1"/>
        <v>400</v>
      </c>
      <c r="H10" s="4">
        <f t="shared" si="2"/>
        <v>60600</v>
      </c>
      <c r="I10" s="6">
        <f t="shared" si="3"/>
        <v>20200</v>
      </c>
      <c r="K10" s="1" t="s">
        <v>33</v>
      </c>
    </row>
    <row r="11" spans="1:11" ht="15" thickTop="1" x14ac:dyDescent="0.3">
      <c r="A11" s="2">
        <v>44442</v>
      </c>
      <c r="B11" t="s">
        <v>27</v>
      </c>
      <c r="C11" t="s">
        <v>15</v>
      </c>
      <c r="D11" t="s">
        <v>10</v>
      </c>
      <c r="E11" s="3">
        <v>52</v>
      </c>
      <c r="F11" s="4">
        <f t="shared" si="0"/>
        <v>6000</v>
      </c>
      <c r="G11" s="4">
        <f t="shared" si="1"/>
        <v>4000</v>
      </c>
      <c r="H11" s="4">
        <f t="shared" si="2"/>
        <v>312000</v>
      </c>
      <c r="I11" s="6">
        <f t="shared" si="3"/>
        <v>104000</v>
      </c>
      <c r="K11" s="6">
        <f>AVERAGE(H2:H51)</f>
        <v>258890</v>
      </c>
    </row>
    <row r="12" spans="1:11" x14ac:dyDescent="0.3">
      <c r="A12" s="2">
        <v>44469</v>
      </c>
      <c r="B12" t="s">
        <v>27</v>
      </c>
      <c r="C12" t="s">
        <v>12</v>
      </c>
      <c r="D12" t="s">
        <v>16</v>
      </c>
      <c r="E12" s="3">
        <v>55</v>
      </c>
      <c r="F12" s="4">
        <f t="shared" si="0"/>
        <v>1200</v>
      </c>
      <c r="G12" s="4">
        <f t="shared" si="1"/>
        <v>800</v>
      </c>
      <c r="H12" s="4">
        <f t="shared" si="2"/>
        <v>66000</v>
      </c>
      <c r="I12" s="6">
        <f t="shared" si="3"/>
        <v>22000</v>
      </c>
    </row>
    <row r="13" spans="1:11" x14ac:dyDescent="0.3">
      <c r="A13" s="2">
        <v>44084</v>
      </c>
      <c r="B13" t="s">
        <v>27</v>
      </c>
      <c r="C13" t="s">
        <v>15</v>
      </c>
      <c r="D13" t="s">
        <v>19</v>
      </c>
      <c r="E13" s="3">
        <v>137</v>
      </c>
      <c r="F13" s="4">
        <f t="shared" si="0"/>
        <v>1000</v>
      </c>
      <c r="G13" s="4">
        <f t="shared" si="1"/>
        <v>700</v>
      </c>
      <c r="H13" s="4">
        <f t="shared" si="2"/>
        <v>137000</v>
      </c>
      <c r="I13" s="6">
        <f t="shared" si="3"/>
        <v>41100</v>
      </c>
    </row>
    <row r="14" spans="1:11" x14ac:dyDescent="0.3">
      <c r="A14" s="2">
        <v>44404</v>
      </c>
      <c r="B14" t="s">
        <v>24</v>
      </c>
      <c r="C14" t="s">
        <v>15</v>
      </c>
      <c r="D14" t="s">
        <v>13</v>
      </c>
      <c r="E14" s="3">
        <v>96</v>
      </c>
      <c r="F14" s="4">
        <f t="shared" si="0"/>
        <v>3500</v>
      </c>
      <c r="G14" s="4">
        <f t="shared" si="1"/>
        <v>2500</v>
      </c>
      <c r="H14" s="4">
        <f t="shared" si="2"/>
        <v>336000</v>
      </c>
      <c r="I14" s="6">
        <f t="shared" si="3"/>
        <v>96000</v>
      </c>
    </row>
    <row r="15" spans="1:11" x14ac:dyDescent="0.3">
      <c r="A15" s="2">
        <v>44113</v>
      </c>
      <c r="B15" t="s">
        <v>25</v>
      </c>
      <c r="C15" t="s">
        <v>12</v>
      </c>
      <c r="D15" t="s">
        <v>21</v>
      </c>
      <c r="E15" s="3">
        <v>52</v>
      </c>
      <c r="F15" s="4">
        <f t="shared" si="0"/>
        <v>4000</v>
      </c>
      <c r="G15" s="4">
        <f t="shared" si="1"/>
        <v>3000</v>
      </c>
      <c r="H15" s="4">
        <f t="shared" si="2"/>
        <v>208000</v>
      </c>
      <c r="I15" s="6">
        <f t="shared" si="3"/>
        <v>52000</v>
      </c>
    </row>
    <row r="16" spans="1:11" x14ac:dyDescent="0.3">
      <c r="A16" s="2">
        <v>44292</v>
      </c>
      <c r="B16" t="s">
        <v>17</v>
      </c>
      <c r="C16" t="s">
        <v>9</v>
      </c>
      <c r="D16" t="s">
        <v>13</v>
      </c>
      <c r="E16" s="3">
        <v>76</v>
      </c>
      <c r="F16" s="4">
        <f t="shared" si="0"/>
        <v>3500</v>
      </c>
      <c r="G16" s="4">
        <f t="shared" si="1"/>
        <v>2500</v>
      </c>
      <c r="H16" s="4">
        <f t="shared" si="2"/>
        <v>266000</v>
      </c>
      <c r="I16" s="6">
        <f t="shared" si="3"/>
        <v>76000</v>
      </c>
    </row>
    <row r="17" spans="1:9" x14ac:dyDescent="0.3">
      <c r="A17" s="2">
        <v>44362</v>
      </c>
      <c r="B17" t="s">
        <v>11</v>
      </c>
      <c r="C17" t="s">
        <v>18</v>
      </c>
      <c r="D17" t="s">
        <v>21</v>
      </c>
      <c r="E17" s="3">
        <v>145</v>
      </c>
      <c r="F17" s="4">
        <f t="shared" si="0"/>
        <v>4000</v>
      </c>
      <c r="G17" s="4">
        <f t="shared" si="1"/>
        <v>3000</v>
      </c>
      <c r="H17" s="4">
        <f t="shared" si="2"/>
        <v>580000</v>
      </c>
      <c r="I17" s="6">
        <f t="shared" si="3"/>
        <v>145000</v>
      </c>
    </row>
    <row r="18" spans="1:9" x14ac:dyDescent="0.3">
      <c r="A18" s="2">
        <v>44083</v>
      </c>
      <c r="B18" t="s">
        <v>8</v>
      </c>
      <c r="C18" t="s">
        <v>15</v>
      </c>
      <c r="D18" t="s">
        <v>26</v>
      </c>
      <c r="E18" s="3">
        <v>83</v>
      </c>
      <c r="F18" s="4">
        <f t="shared" si="0"/>
        <v>600</v>
      </c>
      <c r="G18" s="4">
        <f t="shared" si="1"/>
        <v>400</v>
      </c>
      <c r="H18" s="4">
        <f t="shared" si="2"/>
        <v>49800</v>
      </c>
      <c r="I18" s="6">
        <f t="shared" si="3"/>
        <v>16600</v>
      </c>
    </row>
    <row r="19" spans="1:9" x14ac:dyDescent="0.3">
      <c r="A19" s="2">
        <v>44421</v>
      </c>
      <c r="B19" t="s">
        <v>20</v>
      </c>
      <c r="C19" t="s">
        <v>15</v>
      </c>
      <c r="D19" t="s">
        <v>19</v>
      </c>
      <c r="E19" s="3">
        <v>91</v>
      </c>
      <c r="F19" s="4">
        <f t="shared" si="0"/>
        <v>1000</v>
      </c>
      <c r="G19" s="4">
        <f t="shared" si="1"/>
        <v>700</v>
      </c>
      <c r="H19" s="4">
        <f t="shared" si="2"/>
        <v>91000</v>
      </c>
      <c r="I19" s="6">
        <f t="shared" si="3"/>
        <v>27300</v>
      </c>
    </row>
    <row r="20" spans="1:9" x14ac:dyDescent="0.3">
      <c r="A20" s="2">
        <v>44070</v>
      </c>
      <c r="B20" t="s">
        <v>22</v>
      </c>
      <c r="C20" t="s">
        <v>9</v>
      </c>
      <c r="D20" t="s">
        <v>28</v>
      </c>
      <c r="E20" s="3">
        <v>108</v>
      </c>
      <c r="F20" s="4">
        <f t="shared" si="0"/>
        <v>10000</v>
      </c>
      <c r="G20" s="4">
        <f t="shared" si="1"/>
        <v>7000</v>
      </c>
      <c r="H20" s="4">
        <f t="shared" si="2"/>
        <v>1080000</v>
      </c>
      <c r="I20" s="6">
        <f t="shared" si="3"/>
        <v>324000</v>
      </c>
    </row>
    <row r="21" spans="1:9" x14ac:dyDescent="0.3">
      <c r="A21" s="2">
        <v>44293</v>
      </c>
      <c r="B21" t="s">
        <v>14</v>
      </c>
      <c r="C21" t="s">
        <v>18</v>
      </c>
      <c r="D21" t="s">
        <v>21</v>
      </c>
      <c r="E21" s="3">
        <v>144</v>
      </c>
      <c r="F21" s="4">
        <f t="shared" si="0"/>
        <v>4000</v>
      </c>
      <c r="G21" s="4">
        <f t="shared" si="1"/>
        <v>3000</v>
      </c>
      <c r="H21" s="4">
        <f t="shared" si="2"/>
        <v>576000</v>
      </c>
      <c r="I21" s="6">
        <f t="shared" si="3"/>
        <v>144000</v>
      </c>
    </row>
    <row r="22" spans="1:9" x14ac:dyDescent="0.3">
      <c r="A22" s="2">
        <v>43990</v>
      </c>
      <c r="B22" t="s">
        <v>20</v>
      </c>
      <c r="C22" t="s">
        <v>15</v>
      </c>
      <c r="D22" t="s">
        <v>26</v>
      </c>
      <c r="E22" s="3">
        <v>92</v>
      </c>
      <c r="F22" s="4">
        <f t="shared" si="0"/>
        <v>600</v>
      </c>
      <c r="G22" s="4">
        <f t="shared" si="1"/>
        <v>400</v>
      </c>
      <c r="H22" s="4">
        <f t="shared" si="2"/>
        <v>55200</v>
      </c>
      <c r="I22" s="6">
        <f t="shared" si="3"/>
        <v>18400</v>
      </c>
    </row>
    <row r="23" spans="1:9" x14ac:dyDescent="0.3">
      <c r="A23" s="2">
        <v>44551</v>
      </c>
      <c r="B23" t="s">
        <v>24</v>
      </c>
      <c r="C23" t="s">
        <v>9</v>
      </c>
      <c r="D23" t="s">
        <v>10</v>
      </c>
      <c r="E23" s="3">
        <v>71</v>
      </c>
      <c r="F23" s="4">
        <f t="shared" si="0"/>
        <v>6000</v>
      </c>
      <c r="G23" s="4">
        <f t="shared" si="1"/>
        <v>4000</v>
      </c>
      <c r="H23" s="4">
        <f t="shared" si="2"/>
        <v>426000</v>
      </c>
      <c r="I23" s="6">
        <f t="shared" si="3"/>
        <v>142000</v>
      </c>
    </row>
    <row r="24" spans="1:9" x14ac:dyDescent="0.3">
      <c r="A24" s="2">
        <v>44418</v>
      </c>
      <c r="B24" t="s">
        <v>8</v>
      </c>
      <c r="C24" t="s">
        <v>12</v>
      </c>
      <c r="D24" t="s">
        <v>26</v>
      </c>
      <c r="E24" s="3">
        <v>103</v>
      </c>
      <c r="F24" s="4">
        <f t="shared" si="0"/>
        <v>600</v>
      </c>
      <c r="G24" s="4">
        <f t="shared" si="1"/>
        <v>400</v>
      </c>
      <c r="H24" s="4">
        <f t="shared" si="2"/>
        <v>61800</v>
      </c>
      <c r="I24" s="6">
        <f t="shared" si="3"/>
        <v>20600</v>
      </c>
    </row>
    <row r="25" spans="1:9" x14ac:dyDescent="0.3">
      <c r="A25" s="2">
        <v>44532</v>
      </c>
      <c r="B25" t="s">
        <v>27</v>
      </c>
      <c r="C25" t="s">
        <v>18</v>
      </c>
      <c r="D25" t="s">
        <v>19</v>
      </c>
      <c r="E25" s="3">
        <v>55</v>
      </c>
      <c r="F25" s="4">
        <f t="shared" si="0"/>
        <v>1000</v>
      </c>
      <c r="G25" s="4">
        <f t="shared" si="1"/>
        <v>700</v>
      </c>
      <c r="H25" s="4">
        <f t="shared" si="2"/>
        <v>55000</v>
      </c>
      <c r="I25" s="6">
        <f t="shared" si="3"/>
        <v>16500</v>
      </c>
    </row>
    <row r="26" spans="1:9" x14ac:dyDescent="0.3">
      <c r="A26" s="2">
        <v>44438</v>
      </c>
      <c r="B26" t="s">
        <v>22</v>
      </c>
      <c r="C26" t="s">
        <v>12</v>
      </c>
      <c r="D26" t="s">
        <v>21</v>
      </c>
      <c r="E26" s="3">
        <v>93</v>
      </c>
      <c r="F26" s="4">
        <f t="shared" si="0"/>
        <v>4000</v>
      </c>
      <c r="G26" s="4">
        <f t="shared" si="1"/>
        <v>3000</v>
      </c>
      <c r="H26" s="4">
        <f t="shared" si="2"/>
        <v>372000</v>
      </c>
      <c r="I26" s="6">
        <f t="shared" si="3"/>
        <v>93000</v>
      </c>
    </row>
    <row r="27" spans="1:9" x14ac:dyDescent="0.3">
      <c r="A27" s="2">
        <v>43971</v>
      </c>
      <c r="B27" t="s">
        <v>14</v>
      </c>
      <c r="C27" t="s">
        <v>15</v>
      </c>
      <c r="D27" t="s">
        <v>26</v>
      </c>
      <c r="E27" s="3">
        <v>143</v>
      </c>
      <c r="F27" s="4">
        <f t="shared" si="0"/>
        <v>600</v>
      </c>
      <c r="G27" s="4">
        <f t="shared" si="1"/>
        <v>400</v>
      </c>
      <c r="H27" s="4">
        <f t="shared" si="2"/>
        <v>85800</v>
      </c>
      <c r="I27" s="6">
        <f>H27-E27*G27</f>
        <v>28600</v>
      </c>
    </row>
    <row r="28" spans="1:9" x14ac:dyDescent="0.3">
      <c r="A28" s="2">
        <v>44452</v>
      </c>
      <c r="B28" t="s">
        <v>23</v>
      </c>
      <c r="C28" t="s">
        <v>9</v>
      </c>
      <c r="D28" t="s">
        <v>13</v>
      </c>
      <c r="E28" s="3">
        <v>143</v>
      </c>
      <c r="F28" s="4">
        <f t="shared" si="0"/>
        <v>3500</v>
      </c>
      <c r="G28" s="4">
        <f t="shared" si="1"/>
        <v>2500</v>
      </c>
      <c r="H28" s="4">
        <f t="shared" si="2"/>
        <v>500500</v>
      </c>
      <c r="I28" s="6">
        <f t="shared" si="3"/>
        <v>143000</v>
      </c>
    </row>
    <row r="29" spans="1:9" x14ac:dyDescent="0.3">
      <c r="A29" s="2">
        <v>44496</v>
      </c>
      <c r="B29" t="s">
        <v>25</v>
      </c>
      <c r="C29" t="s">
        <v>18</v>
      </c>
      <c r="D29" t="s">
        <v>26</v>
      </c>
      <c r="E29" s="3">
        <v>99</v>
      </c>
      <c r="F29" s="4">
        <f t="shared" si="0"/>
        <v>600</v>
      </c>
      <c r="G29" s="4">
        <f t="shared" si="1"/>
        <v>400</v>
      </c>
      <c r="H29" s="4">
        <f t="shared" si="2"/>
        <v>59400</v>
      </c>
      <c r="I29" s="6">
        <f t="shared" si="3"/>
        <v>19800</v>
      </c>
    </row>
    <row r="30" spans="1:9" x14ac:dyDescent="0.3">
      <c r="A30" s="2">
        <v>44187</v>
      </c>
      <c r="B30" t="s">
        <v>17</v>
      </c>
      <c r="C30" t="s">
        <v>9</v>
      </c>
      <c r="D30" t="s">
        <v>19</v>
      </c>
      <c r="E30" s="3">
        <v>120</v>
      </c>
      <c r="F30" s="4">
        <f t="shared" si="0"/>
        <v>1000</v>
      </c>
      <c r="G30" s="4">
        <f t="shared" si="1"/>
        <v>700</v>
      </c>
      <c r="H30" s="4">
        <f t="shared" si="2"/>
        <v>120000</v>
      </c>
      <c r="I30" s="6">
        <f t="shared" si="3"/>
        <v>36000</v>
      </c>
    </row>
    <row r="31" spans="1:9" x14ac:dyDescent="0.3">
      <c r="A31" s="2">
        <v>44405</v>
      </c>
      <c r="B31" t="s">
        <v>11</v>
      </c>
      <c r="C31" t="s">
        <v>15</v>
      </c>
      <c r="D31" t="s">
        <v>13</v>
      </c>
      <c r="E31" s="3">
        <v>66</v>
      </c>
      <c r="F31" s="4">
        <f t="shared" si="0"/>
        <v>3500</v>
      </c>
      <c r="G31" s="4">
        <f t="shared" si="1"/>
        <v>2500</v>
      </c>
      <c r="H31" s="4">
        <f t="shared" si="2"/>
        <v>231000</v>
      </c>
      <c r="I31" s="6">
        <f t="shared" si="3"/>
        <v>66000</v>
      </c>
    </row>
    <row r="32" spans="1:9" x14ac:dyDescent="0.3">
      <c r="A32" s="2">
        <v>44103</v>
      </c>
      <c r="B32" t="s">
        <v>25</v>
      </c>
      <c r="C32" t="s">
        <v>18</v>
      </c>
      <c r="D32" t="s">
        <v>16</v>
      </c>
      <c r="E32" s="3">
        <v>88</v>
      </c>
      <c r="F32" s="4">
        <f t="shared" si="0"/>
        <v>1200</v>
      </c>
      <c r="G32" s="4">
        <f t="shared" si="1"/>
        <v>800</v>
      </c>
      <c r="H32" s="4">
        <f t="shared" si="2"/>
        <v>105600</v>
      </c>
      <c r="I32" s="6">
        <f t="shared" si="3"/>
        <v>35200</v>
      </c>
    </row>
    <row r="33" spans="1:9" x14ac:dyDescent="0.3">
      <c r="A33" s="2">
        <v>44126</v>
      </c>
      <c r="B33" t="s">
        <v>17</v>
      </c>
      <c r="C33" t="s">
        <v>12</v>
      </c>
      <c r="D33" t="s">
        <v>28</v>
      </c>
      <c r="E33" s="3">
        <v>127</v>
      </c>
      <c r="F33" s="4">
        <f t="shared" si="0"/>
        <v>10000</v>
      </c>
      <c r="G33" s="4">
        <f t="shared" si="1"/>
        <v>7000</v>
      </c>
      <c r="H33" s="4">
        <f t="shared" si="2"/>
        <v>1270000</v>
      </c>
      <c r="I33" s="6">
        <f t="shared" si="3"/>
        <v>381000</v>
      </c>
    </row>
    <row r="34" spans="1:9" x14ac:dyDescent="0.3">
      <c r="A34" s="2">
        <v>43970</v>
      </c>
      <c r="B34" t="s">
        <v>20</v>
      </c>
      <c r="C34" t="s">
        <v>9</v>
      </c>
      <c r="D34" t="s">
        <v>21</v>
      </c>
      <c r="E34" s="3">
        <v>67</v>
      </c>
      <c r="F34" s="4">
        <f t="shared" si="0"/>
        <v>4000</v>
      </c>
      <c r="G34" s="4">
        <f t="shared" si="1"/>
        <v>3000</v>
      </c>
      <c r="H34" s="4">
        <f t="shared" si="2"/>
        <v>268000</v>
      </c>
      <c r="I34" s="6">
        <f t="shared" si="3"/>
        <v>67000</v>
      </c>
    </row>
    <row r="35" spans="1:9" x14ac:dyDescent="0.3">
      <c r="A35" s="2">
        <v>44536</v>
      </c>
      <c r="B35" t="s">
        <v>11</v>
      </c>
      <c r="C35" t="s">
        <v>12</v>
      </c>
      <c r="D35" t="s">
        <v>16</v>
      </c>
      <c r="E35" s="3">
        <v>67</v>
      </c>
      <c r="F35" s="4">
        <f t="shared" si="0"/>
        <v>1200</v>
      </c>
      <c r="G35" s="4">
        <f t="shared" si="1"/>
        <v>800</v>
      </c>
      <c r="H35" s="4">
        <f t="shared" si="2"/>
        <v>80400</v>
      </c>
      <c r="I35" s="6">
        <f t="shared" si="3"/>
        <v>26800</v>
      </c>
    </row>
    <row r="36" spans="1:9" x14ac:dyDescent="0.3">
      <c r="A36" s="2">
        <v>44069</v>
      </c>
      <c r="B36" t="s">
        <v>27</v>
      </c>
      <c r="C36" t="s">
        <v>15</v>
      </c>
      <c r="D36" t="s">
        <v>19</v>
      </c>
      <c r="E36" s="3">
        <v>149</v>
      </c>
      <c r="F36" s="4">
        <f t="shared" si="0"/>
        <v>1000</v>
      </c>
      <c r="G36" s="4">
        <f t="shared" si="1"/>
        <v>700</v>
      </c>
      <c r="H36" s="4">
        <f t="shared" si="2"/>
        <v>149000</v>
      </c>
      <c r="I36" s="6">
        <f t="shared" si="3"/>
        <v>44700</v>
      </c>
    </row>
    <row r="37" spans="1:9" x14ac:dyDescent="0.3">
      <c r="A37" s="2">
        <v>44378</v>
      </c>
      <c r="B37" t="s">
        <v>20</v>
      </c>
      <c r="C37" t="s">
        <v>18</v>
      </c>
      <c r="D37" t="s">
        <v>26</v>
      </c>
      <c r="E37" s="3">
        <v>104</v>
      </c>
      <c r="F37" s="4">
        <f t="shared" si="0"/>
        <v>600</v>
      </c>
      <c r="G37" s="4">
        <f t="shared" si="1"/>
        <v>400</v>
      </c>
      <c r="H37" s="4">
        <f t="shared" si="2"/>
        <v>62400</v>
      </c>
      <c r="I37" s="6">
        <f t="shared" si="3"/>
        <v>20800</v>
      </c>
    </row>
    <row r="38" spans="1:9" x14ac:dyDescent="0.3">
      <c r="A38" s="2">
        <v>44404</v>
      </c>
      <c r="B38" t="s">
        <v>24</v>
      </c>
      <c r="C38" t="s">
        <v>9</v>
      </c>
      <c r="D38" t="s">
        <v>26</v>
      </c>
      <c r="E38" s="3">
        <v>57</v>
      </c>
      <c r="F38" s="4">
        <f t="shared" si="0"/>
        <v>600</v>
      </c>
      <c r="G38" s="4">
        <f t="shared" si="1"/>
        <v>400</v>
      </c>
      <c r="H38" s="4">
        <f t="shared" si="2"/>
        <v>34200</v>
      </c>
      <c r="I38" s="6">
        <f t="shared" si="3"/>
        <v>11400</v>
      </c>
    </row>
    <row r="39" spans="1:9" x14ac:dyDescent="0.3">
      <c r="A39" s="2">
        <v>44109</v>
      </c>
      <c r="B39" t="s">
        <v>14</v>
      </c>
      <c r="C39" t="s">
        <v>12</v>
      </c>
      <c r="D39" t="s">
        <v>26</v>
      </c>
      <c r="E39" s="3">
        <v>90</v>
      </c>
      <c r="F39" s="4">
        <f t="shared" si="0"/>
        <v>600</v>
      </c>
      <c r="G39" s="4">
        <f t="shared" si="1"/>
        <v>400</v>
      </c>
      <c r="H39" s="4">
        <f t="shared" si="2"/>
        <v>54000</v>
      </c>
      <c r="I39" s="6">
        <f t="shared" si="3"/>
        <v>18000</v>
      </c>
    </row>
    <row r="40" spans="1:9" x14ac:dyDescent="0.3">
      <c r="A40" s="2">
        <v>44076</v>
      </c>
      <c r="B40" t="s">
        <v>22</v>
      </c>
      <c r="C40" t="s">
        <v>15</v>
      </c>
      <c r="D40" t="s">
        <v>26</v>
      </c>
      <c r="E40" s="3">
        <v>67</v>
      </c>
      <c r="F40" s="4">
        <f t="shared" si="0"/>
        <v>600</v>
      </c>
      <c r="G40" s="4">
        <f t="shared" si="1"/>
        <v>400</v>
      </c>
      <c r="H40" s="4">
        <f t="shared" si="2"/>
        <v>40200</v>
      </c>
      <c r="I40" s="6">
        <f t="shared" si="3"/>
        <v>13400</v>
      </c>
    </row>
    <row r="41" spans="1:9" x14ac:dyDescent="0.3">
      <c r="A41" s="2">
        <v>44441</v>
      </c>
      <c r="B41" t="s">
        <v>8</v>
      </c>
      <c r="C41" t="s">
        <v>18</v>
      </c>
      <c r="D41" t="s">
        <v>21</v>
      </c>
      <c r="E41" s="3">
        <v>127</v>
      </c>
      <c r="F41" s="4">
        <f t="shared" si="0"/>
        <v>4000</v>
      </c>
      <c r="G41" s="4">
        <f t="shared" si="1"/>
        <v>3000</v>
      </c>
      <c r="H41" s="4">
        <f t="shared" si="2"/>
        <v>508000</v>
      </c>
      <c r="I41" s="6">
        <f t="shared" si="3"/>
        <v>127000</v>
      </c>
    </row>
    <row r="42" spans="1:9" x14ac:dyDescent="0.3">
      <c r="A42" s="2">
        <v>44299</v>
      </c>
      <c r="B42" t="s">
        <v>22</v>
      </c>
      <c r="C42" t="s">
        <v>9</v>
      </c>
      <c r="D42" t="s">
        <v>19</v>
      </c>
      <c r="E42" s="3">
        <v>108</v>
      </c>
      <c r="F42" s="4">
        <f t="shared" si="0"/>
        <v>1000</v>
      </c>
      <c r="G42" s="4">
        <f t="shared" si="1"/>
        <v>700</v>
      </c>
      <c r="H42" s="4">
        <f t="shared" si="2"/>
        <v>108000</v>
      </c>
      <c r="I42" s="6">
        <f t="shared" si="3"/>
        <v>32400</v>
      </c>
    </row>
    <row r="43" spans="1:9" x14ac:dyDescent="0.3">
      <c r="A43" s="2">
        <v>44322</v>
      </c>
      <c r="B43" t="s">
        <v>14</v>
      </c>
      <c r="C43" t="s">
        <v>12</v>
      </c>
      <c r="D43" t="s">
        <v>13</v>
      </c>
      <c r="E43" s="3">
        <v>66</v>
      </c>
      <c r="F43" s="4">
        <f t="shared" si="0"/>
        <v>3500</v>
      </c>
      <c r="G43" s="4">
        <f t="shared" si="1"/>
        <v>2500</v>
      </c>
      <c r="H43" s="4">
        <f t="shared" si="2"/>
        <v>231000</v>
      </c>
      <c r="I43" s="6">
        <f t="shared" si="3"/>
        <v>66000</v>
      </c>
    </row>
    <row r="44" spans="1:9" x14ac:dyDescent="0.3">
      <c r="A44" s="2">
        <v>44211</v>
      </c>
      <c r="B44" t="s">
        <v>8</v>
      </c>
      <c r="C44" t="s">
        <v>18</v>
      </c>
      <c r="D44" t="s">
        <v>10</v>
      </c>
      <c r="E44" s="3">
        <v>78</v>
      </c>
      <c r="F44" s="4">
        <f t="shared" si="0"/>
        <v>6000</v>
      </c>
      <c r="G44" s="4">
        <f t="shared" si="1"/>
        <v>4000</v>
      </c>
      <c r="H44" s="4">
        <f t="shared" si="2"/>
        <v>468000</v>
      </c>
      <c r="I44" s="6">
        <f t="shared" si="3"/>
        <v>156000</v>
      </c>
    </row>
    <row r="45" spans="1:9" x14ac:dyDescent="0.3">
      <c r="A45" s="2">
        <v>44070</v>
      </c>
      <c r="B45" t="s">
        <v>24</v>
      </c>
      <c r="C45" t="s">
        <v>15</v>
      </c>
      <c r="D45" t="s">
        <v>19</v>
      </c>
      <c r="E45" s="3">
        <v>69</v>
      </c>
      <c r="F45" s="4">
        <f t="shared" si="0"/>
        <v>1000</v>
      </c>
      <c r="G45" s="4">
        <f t="shared" si="1"/>
        <v>700</v>
      </c>
      <c r="H45" s="4">
        <f t="shared" si="2"/>
        <v>69000</v>
      </c>
      <c r="I45" s="6">
        <f t="shared" si="3"/>
        <v>20700</v>
      </c>
    </row>
    <row r="46" spans="1:9" x14ac:dyDescent="0.3">
      <c r="A46" s="2">
        <v>44232</v>
      </c>
      <c r="B46" t="s">
        <v>20</v>
      </c>
      <c r="C46" t="s">
        <v>9</v>
      </c>
      <c r="D46" t="s">
        <v>16</v>
      </c>
      <c r="E46" s="3">
        <v>59</v>
      </c>
      <c r="F46" s="4">
        <f t="shared" si="0"/>
        <v>1200</v>
      </c>
      <c r="G46" s="4">
        <f t="shared" si="1"/>
        <v>800</v>
      </c>
      <c r="H46" s="4">
        <f t="shared" si="2"/>
        <v>70800</v>
      </c>
      <c r="I46" s="6">
        <f t="shared" si="3"/>
        <v>23600</v>
      </c>
    </row>
    <row r="47" spans="1:9" x14ac:dyDescent="0.3">
      <c r="A47" s="2">
        <v>44517</v>
      </c>
      <c r="B47" t="s">
        <v>27</v>
      </c>
      <c r="C47" t="s">
        <v>15</v>
      </c>
      <c r="D47" t="s">
        <v>26</v>
      </c>
      <c r="E47" s="3">
        <v>109</v>
      </c>
      <c r="F47" s="4">
        <f t="shared" si="0"/>
        <v>600</v>
      </c>
      <c r="G47" s="4">
        <f t="shared" si="1"/>
        <v>400</v>
      </c>
      <c r="H47" s="4">
        <f t="shared" si="2"/>
        <v>65400</v>
      </c>
      <c r="I47" s="6">
        <f t="shared" si="3"/>
        <v>21800</v>
      </c>
    </row>
    <row r="48" spans="1:9" x14ac:dyDescent="0.3">
      <c r="A48" s="2">
        <v>44193</v>
      </c>
      <c r="B48" t="s">
        <v>25</v>
      </c>
      <c r="C48" t="s">
        <v>12</v>
      </c>
      <c r="D48" t="s">
        <v>21</v>
      </c>
      <c r="E48" s="3">
        <v>61</v>
      </c>
      <c r="F48" s="4">
        <f t="shared" si="0"/>
        <v>4000</v>
      </c>
      <c r="G48" s="4">
        <f t="shared" si="1"/>
        <v>3000</v>
      </c>
      <c r="H48" s="4">
        <f t="shared" si="2"/>
        <v>244000</v>
      </c>
      <c r="I48" s="6">
        <f t="shared" si="3"/>
        <v>61000</v>
      </c>
    </row>
    <row r="49" spans="1:9" x14ac:dyDescent="0.3">
      <c r="A49" s="2">
        <v>44496</v>
      </c>
      <c r="B49" t="s">
        <v>20</v>
      </c>
      <c r="C49" t="s">
        <v>18</v>
      </c>
      <c r="D49" t="s">
        <v>26</v>
      </c>
      <c r="E49" s="3">
        <v>130</v>
      </c>
      <c r="F49" s="4">
        <f t="shared" si="0"/>
        <v>600</v>
      </c>
      <c r="G49" s="4">
        <f t="shared" si="1"/>
        <v>400</v>
      </c>
      <c r="H49" s="4">
        <f t="shared" si="2"/>
        <v>78000</v>
      </c>
      <c r="I49" s="6">
        <f t="shared" si="3"/>
        <v>26000</v>
      </c>
    </row>
    <row r="50" spans="1:9" x14ac:dyDescent="0.3">
      <c r="A50" s="2">
        <v>44502</v>
      </c>
      <c r="B50" t="s">
        <v>17</v>
      </c>
      <c r="C50" t="s">
        <v>15</v>
      </c>
      <c r="D50" t="s">
        <v>13</v>
      </c>
      <c r="E50" s="3">
        <v>60</v>
      </c>
      <c r="F50" s="4">
        <f t="shared" si="0"/>
        <v>3500</v>
      </c>
      <c r="G50" s="4">
        <f t="shared" si="1"/>
        <v>2500</v>
      </c>
      <c r="H50" s="4">
        <f t="shared" si="2"/>
        <v>210000</v>
      </c>
      <c r="I50" s="6">
        <f t="shared" si="3"/>
        <v>60000</v>
      </c>
    </row>
    <row r="51" spans="1:9" x14ac:dyDescent="0.3">
      <c r="A51" s="2">
        <v>43958</v>
      </c>
      <c r="B51" t="s">
        <v>11</v>
      </c>
      <c r="C51" t="s">
        <v>12</v>
      </c>
      <c r="D51" t="s">
        <v>10</v>
      </c>
      <c r="E51" s="3">
        <v>73</v>
      </c>
      <c r="F51" s="4">
        <f t="shared" si="0"/>
        <v>6000</v>
      </c>
      <c r="G51" s="4">
        <f t="shared" si="1"/>
        <v>4000</v>
      </c>
      <c r="H51" s="4">
        <f t="shared" si="2"/>
        <v>438000</v>
      </c>
      <c r="I51" s="6">
        <f t="shared" si="3"/>
        <v>146000</v>
      </c>
    </row>
    <row r="52" spans="1:9" x14ac:dyDescent="0.3">
      <c r="H52" s="4"/>
    </row>
    <row r="53" spans="1:9" x14ac:dyDescent="0.3">
      <c r="H53" s="6"/>
    </row>
    <row r="1048576" spans="8:8" x14ac:dyDescent="0.3">
      <c r="H1048576" s="6">
        <f>SUM(H2:H1048575)</f>
        <v>12944500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4A69D-9809-45B5-86FA-F27E18888A6E}">
  <dimension ref="A3:AD14"/>
  <sheetViews>
    <sheetView zoomScale="55" zoomScaleNormal="55" workbookViewId="0">
      <selection activeCell="P28" sqref="P28"/>
    </sheetView>
  </sheetViews>
  <sheetFormatPr defaultRowHeight="14.4" x14ac:dyDescent="0.3"/>
  <cols>
    <col min="1" max="1" width="18.44140625" bestFit="1" customWidth="1"/>
    <col min="2" max="2" width="22.88671875" bestFit="1" customWidth="1"/>
    <col min="3" max="3" width="18.88671875" bestFit="1" customWidth="1"/>
    <col min="4" max="4" width="18.44140625" bestFit="1" customWidth="1"/>
    <col min="5" max="5" width="22.88671875" bestFit="1" customWidth="1"/>
    <col min="6" max="6" width="21.33203125" bestFit="1" customWidth="1"/>
    <col min="7" max="7" width="18.44140625" bestFit="1" customWidth="1"/>
    <col min="8" max="8" width="22.88671875" bestFit="1" customWidth="1"/>
    <col min="11" max="11" width="18.44140625" bestFit="1" customWidth="1"/>
    <col min="12" max="12" width="21.77734375" bestFit="1" customWidth="1"/>
  </cols>
  <sheetData>
    <row r="3" spans="1:30" x14ac:dyDescent="0.3">
      <c r="A3" s="7" t="s">
        <v>34</v>
      </c>
      <c r="B3" t="s">
        <v>36</v>
      </c>
      <c r="D3" s="7" t="s">
        <v>34</v>
      </c>
      <c r="E3" t="s">
        <v>36</v>
      </c>
      <c r="G3" s="7" t="s">
        <v>34</v>
      </c>
      <c r="H3" t="s">
        <v>36</v>
      </c>
      <c r="K3" s="7" t="s">
        <v>34</v>
      </c>
      <c r="L3" t="s">
        <v>37</v>
      </c>
    </row>
    <row r="4" spans="1:30" x14ac:dyDescent="0.3">
      <c r="A4" s="3" t="s">
        <v>9</v>
      </c>
      <c r="B4" s="8">
        <v>3878100</v>
      </c>
      <c r="D4" s="3" t="s">
        <v>16</v>
      </c>
      <c r="E4" s="9">
        <v>547200</v>
      </c>
      <c r="G4" s="3" t="s">
        <v>8</v>
      </c>
      <c r="H4" s="9">
        <v>1591600</v>
      </c>
      <c r="K4" s="3" t="s">
        <v>16</v>
      </c>
      <c r="L4" s="11">
        <v>456</v>
      </c>
    </row>
    <row r="5" spans="1:30" x14ac:dyDescent="0.3">
      <c r="A5" s="3" t="s">
        <v>15</v>
      </c>
      <c r="B5" s="8">
        <v>2870600</v>
      </c>
      <c r="D5" s="3" t="s">
        <v>13</v>
      </c>
      <c r="E5" s="9">
        <v>2222500</v>
      </c>
      <c r="G5" s="3" t="s">
        <v>25</v>
      </c>
      <c r="H5" s="9">
        <v>677600</v>
      </c>
      <c r="K5" s="3" t="s">
        <v>13</v>
      </c>
      <c r="L5" s="11">
        <v>635</v>
      </c>
    </row>
    <row r="6" spans="1:30" x14ac:dyDescent="0.3">
      <c r="A6" s="3" t="s">
        <v>18</v>
      </c>
      <c r="B6" s="8">
        <v>2661400</v>
      </c>
      <c r="D6" s="3" t="s">
        <v>26</v>
      </c>
      <c r="E6" s="9">
        <v>706800</v>
      </c>
      <c r="G6" s="3" t="s">
        <v>17</v>
      </c>
      <c r="H6" s="9">
        <v>1957000</v>
      </c>
      <c r="K6" s="3" t="s">
        <v>26</v>
      </c>
      <c r="L6" s="11">
        <v>1178</v>
      </c>
    </row>
    <row r="7" spans="1:30" x14ac:dyDescent="0.3">
      <c r="A7" s="3" t="s">
        <v>12</v>
      </c>
      <c r="B7" s="8">
        <v>3534400</v>
      </c>
      <c r="D7" s="3" t="s">
        <v>19</v>
      </c>
      <c r="E7" s="9">
        <v>898000</v>
      </c>
      <c r="G7" s="3" t="s">
        <v>22</v>
      </c>
      <c r="H7" s="9">
        <v>1661400</v>
      </c>
      <c r="K7" s="3" t="s">
        <v>19</v>
      </c>
      <c r="L7" s="11">
        <v>898</v>
      </c>
    </row>
    <row r="8" spans="1:30" x14ac:dyDescent="0.3">
      <c r="A8" s="3" t="s">
        <v>35</v>
      </c>
      <c r="B8" s="8">
        <v>12944500</v>
      </c>
      <c r="D8" s="3" t="s">
        <v>28</v>
      </c>
      <c r="E8" s="9">
        <v>2350000</v>
      </c>
      <c r="G8" s="3" t="s">
        <v>24</v>
      </c>
      <c r="H8" s="9">
        <v>1741200</v>
      </c>
      <c r="K8" s="3" t="s">
        <v>28</v>
      </c>
      <c r="L8" s="11">
        <v>235</v>
      </c>
    </row>
    <row r="9" spans="1:30" x14ac:dyDescent="0.3">
      <c r="D9" s="3" t="s">
        <v>21</v>
      </c>
      <c r="E9" s="9">
        <v>3196000</v>
      </c>
      <c r="G9" s="3" t="s">
        <v>14</v>
      </c>
      <c r="H9" s="9">
        <v>1110000</v>
      </c>
      <c r="K9" s="3" t="s">
        <v>21</v>
      </c>
      <c r="L9" s="11">
        <v>799</v>
      </c>
    </row>
    <row r="10" spans="1:30" x14ac:dyDescent="0.3">
      <c r="D10" s="3" t="s">
        <v>10</v>
      </c>
      <c r="E10" s="9">
        <v>3024000</v>
      </c>
      <c r="G10" s="3" t="s">
        <v>11</v>
      </c>
      <c r="H10" s="9">
        <v>1777400</v>
      </c>
      <c r="K10" s="3" t="s">
        <v>10</v>
      </c>
      <c r="L10" s="11">
        <v>504</v>
      </c>
    </row>
    <row r="11" spans="1:30" x14ac:dyDescent="0.3">
      <c r="D11" s="3" t="s">
        <v>35</v>
      </c>
      <c r="E11" s="9">
        <v>12944500</v>
      </c>
      <c r="G11" s="3" t="s">
        <v>20</v>
      </c>
      <c r="H11" s="9">
        <v>1065400</v>
      </c>
      <c r="K11" s="3" t="s">
        <v>35</v>
      </c>
      <c r="L11" s="11">
        <v>4705</v>
      </c>
      <c r="AD11" s="10"/>
    </row>
    <row r="12" spans="1:30" x14ac:dyDescent="0.3">
      <c r="G12" s="3" t="s">
        <v>27</v>
      </c>
      <c r="H12" s="9">
        <v>784400</v>
      </c>
    </row>
    <row r="13" spans="1:30" x14ac:dyDescent="0.3">
      <c r="G13" s="3" t="s">
        <v>23</v>
      </c>
      <c r="H13" s="9">
        <v>578500</v>
      </c>
    </row>
    <row r="14" spans="1:30" x14ac:dyDescent="0.3">
      <c r="G14" s="3" t="s">
        <v>35</v>
      </c>
      <c r="H14" s="9">
        <v>12944500</v>
      </c>
    </row>
  </sheetData>
  <pageMargins left="0.7" right="0.7" top="0.75" bottom="0.75" header="0.3" footer="0.3"/>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AA5EAF-A15C-4FF7-BF18-B7947F96A701}">
  <dimension ref="A1"/>
  <sheetViews>
    <sheetView zoomScale="63" zoomScaleNormal="63" workbookViewId="0">
      <selection activeCell="X10" sqref="X10"/>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SalesData</vt:lpstr>
      <vt:lpstr>Sheet2</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George Williams</dc:creator>
  <cp:lastModifiedBy>vishal v</cp:lastModifiedBy>
  <dcterms:created xsi:type="dcterms:W3CDTF">2024-05-30T14:35:02Z</dcterms:created>
  <dcterms:modified xsi:type="dcterms:W3CDTF">2025-12-22T13:45:22Z</dcterms:modified>
</cp:coreProperties>
</file>